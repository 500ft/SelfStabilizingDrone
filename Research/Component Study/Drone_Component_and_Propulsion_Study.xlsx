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1b7e0aeda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 Candidates" sheetId="1" r:id="Rf4fbecd5afce4d0e"/>
    <x:sheet xmlns:r="http://schemas.openxmlformats.org/officeDocument/2006/relationships" name="Reference Drones" sheetId="2" r:id="R3308833d29f645d9"/>
    <x:sheet xmlns:r="http://schemas.openxmlformats.org/officeDocument/2006/relationships" name="Battery Architectures" sheetId="3" r:id="Rd26c1265ffec47a9"/>
    <x:sheet xmlns:r="http://schemas.openxmlformats.org/officeDocument/2006/relationships" name="Propulsion Study" sheetId="4" r:id="Rd56511a722f440f8"/>
    <x:sheet xmlns:r="http://schemas.openxmlformats.org/officeDocument/2006/relationships" name="Assumptions &amp; Sources" sheetId="5" r:id="R7f831345f44b46ff"/>
    <x:sheet xmlns:r="http://schemas.openxmlformats.org/officeDocument/2006/relationships" name="Dashboard" sheetId="6" r:id="Rf4672a7be0294f32"/>
    <x:sheet xmlns:r="http://schemas.openxmlformats.org/officeDocument/2006/relationships" name="Checks" sheetId="7" r:id="R615e73ef7883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4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2bf501585470f" /><Relationship Type="http://schemas.openxmlformats.org/officeDocument/2006/relationships/theme" Target="/xl/theme/theme1.xml" Id="Rc95eaeb6d6ee47b1" /><Relationship Type="http://schemas.openxmlformats.org/officeDocument/2006/relationships/sharedStrings" Target="/xl/sharedStrings.xml" Id="R2bf0c74d59b04a6e" /><Relationship Type="http://schemas.openxmlformats.org/officeDocument/2006/relationships/worksheet" Target="/xl/worksheets/sheet1.xml" Id="Rf4fbecd5afce4d0e" /><Relationship Type="http://schemas.openxmlformats.org/officeDocument/2006/relationships/worksheet" Target="/xl/worksheets/sheet2.xml" Id="R3308833d29f645d9" /><Relationship Type="http://schemas.openxmlformats.org/officeDocument/2006/relationships/worksheet" Target="/xl/worksheets/sheet3.xml" Id="Rd26c1265ffec47a9" /><Relationship Type="http://schemas.openxmlformats.org/officeDocument/2006/relationships/worksheet" Target="/xl/worksheets/sheet4.xml" Id="Rd56511a722f440f8" /><Relationship Type="http://schemas.openxmlformats.org/officeDocument/2006/relationships/worksheet" Target="/xl/worksheets/sheet5.xml" Id="R7f831345f44b46ff" /><Relationship Type="http://schemas.openxmlformats.org/officeDocument/2006/relationships/worksheet" Target="/xl/worksheets/sheet6.xml" Id="Rf4672a7be0294f32" /><Relationship Type="http://schemas.openxmlformats.org/officeDocument/2006/relationships/worksheet" Target="/xl/worksheets/sheet7.xml" Id="R615e73ef788347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2d0292fa03441c" /><Relationship Type="http://schemas.openxmlformats.org/officeDocument/2006/relationships/chart" Target="/xl/drawings/charts/chart2.xml" Id="Rc2986bc1a1554b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Static Thrust-to-Weight by 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Static T/W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'Dashboard'!$B$15:$B$26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Flight Time and T/W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Static T/W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'Dashboard'!$B$15:$B$26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Est. flight time (min)</c:v>
          </c:tx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'Dashboard'!$C$15:$C$26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2d0292fa03441c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86bc1a1554b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onentCandidatesTable" displayName="ComponentCandidatesTable" ref="A4:L45" headerRowCount="1">
  <x:tableColumns count="12">
    <x:tableColumn id="1" name="Category"/>
    <x:tableColumn id="2" name="Product"/>
    <x:tableColumn id="3" name="Function"/>
    <x:tableColumn id="4" name="Mass (g)"/>
    <x:tableColumn id="5" name="Dimensions"/>
    <x:tableColumn id="6" name="Voltage"/>
    <x:tableColumn id="7" name="Key specifications"/>
    <x:tableColumn id="8" name="Engineering assessment"/>
    <x:tableColumn id="9" name="Price"/>
    <x:tableColumn id="10" name="Evidence basis"/>
    <x:tableColumn id="11" name="Current disposition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DronesTable" displayName="ReferenceDronesTable" ref="A4:I11" headerRowCount="1">
  <x:tableColumns count="9">
    <x:tableColumn id="1" name="Platform"/>
    <x:tableColumn id="2" name="Flying mass"/>
    <x:tableColumn id="3" name="Motor"/>
    <x:tableColumn id="4" name="Propeller"/>
    <x:tableColumn id="5" name="Battery"/>
    <x:tableColumn id="6" name="Reported flight time"/>
    <x:tableColumn id="7" name="Relevant performance"/>
    <x:tableColumn id="8" name="Use in study"/>
    <x:tableColumn id="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BatteryArchitectureTable" displayName="BatteryArchitectureTable" ref="A4:I8" headerRowCount="1">
  <x:tableColumns count="9">
    <x:tableColumn id="1" name="Architecture"/>
    <x:tableColumn id="2" name="Net integration penalty (g)"/>
    <x:tableColumn id="3" name="Usable energy fraction"/>
    <x:tableColumn id="4" name="Design complexity"/>
    <x:tableColumn id="5" name="Serviceability"/>
    <x:tableColumn id="6" name="Thermal behavior"/>
    <x:tableColumn id="7" name="Impact/fire risk"/>
    <x:tableColumn id="8" name="Recovery/inertia effect"/>
    <x:tableColumn id="9" name="Recommendation"/>
  </x:tableColumns>
  <x:tableStyleInfo name="TableStyleMedium2" showRowStripes="1"/>
</x:table>
</file>

<file path=xl/tables/table4.xml><?xml version="1.0" encoding="utf-8"?>
<x:table xmlns:x="http://schemas.openxmlformats.org/spreadsheetml/2006/main" id="4" name="PropulsionStudyTable" displayName="PropulsionStudyTable" ref="A4:AA16" headerRowCount="1">
  <x:tableColumns count="27">
    <x:tableColumn id="1" name="Scenario"/>
    <x:tableColumn id="2" name="Motor"/>
    <x:tableColumn id="3" name="Propeller"/>
    <x:tableColumn id="4" name="Battery"/>
    <x:tableColumn id="5" name="Battery architecture"/>
    <x:tableColumn id="6" name="Base mass excl. motor/prop/batt (g)"/>
    <x:tableColumn id="7" name="Motor mass each (g)"/>
    <x:tableColumn id="8" name="Prop set mass (g)"/>
    <x:tableColumn id="9" name="Battery mass (g)"/>
    <x:tableColumn id="10" name="Integration penalty (g)"/>
    <x:tableColumn id="11" name="Total flying mass (g)"/>
    <x:tableColumn id="12" name="Capacity (mAh)"/>
    <x:tableColumn id="13" name="C rating"/>
    <x:tableColumn id="14" name="Nominal V"/>
    <x:tableColumn id="15" name="Energy (Wh)"/>
    <x:tableColumn id="16" name="Usable fraction"/>
    <x:tableColumn id="17" name="Usable energy (Wh)"/>
    <x:tableColumn id="18" name="Max thrust / motor (g)"/>
    <x:tableColumn id="19" name="Total max thrust (g)"/>
    <x:tableColumn id="20" name="Static T/W"/>
    <x:tableColumn id="21" name="Max current / motor (A)"/>
    <x:tableColumn id="22" name="Max system current (A)"/>
    <x:tableColumn id="23" name="Battery continuous current (A)"/>
    <x:tableColumn id="24" name="Discharge check"/>
    <x:tableColumn id="25" name="Estimated hover current (A)"/>
    <x:tableColumn id="26" name="Estimated flight time (min)"/>
    <x:tableColumn id="2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d5d45f979d49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ed146e36b4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686ff6717048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eddd12583149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bc13a59aa1648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1.110000610351562" hidden="0" customWidth="1"/>
    <x:col min="3" max="3" width="13.329999923706055" hidden="0" customWidth="1"/>
    <x:col min="4" max="4" width="10" hidden="0" customWidth="1"/>
    <x:col min="5" max="5" width="13.329999923706055" hidden="0" customWidth="1"/>
    <x:col min="6" max="6" width="11.109999656677246" hidden="0" customWidth="1"/>
    <x:col min="7" max="7" width="28.889999389648438" hidden="0" customWidth="1"/>
    <x:col min="8" max="8" width="31.110000610351562" hidden="0" customWidth="1"/>
    <x:col min="9" max="9" width="10" hidden="0" customWidth="1"/>
    <x:col min="10" max="10" width="13.329999923706055" hidden="0" customWidth="1"/>
    <x:col min="11" max="11" width="16.670000076293945" hidden="0" customWidth="1"/>
    <x:col min="12" max="12" width="35.560001373291016" hidden="0" customWidth="1"/>
  </x:cols>
  <x:sheetData>
    <x:row r="1" ht="32" customHeight="1">
      <x:c r="A1" s="2" t="str">
        <x:v>Drone Component Candidate Register</x:v>
      </x:c>
      <x:c r="B1" s="2" t="str">
        <x:v>Drone Component Candidate Register</x:v>
      </x:c>
      <x:c r="C1" s="2" t="str">
        <x:v>Drone Component Candidate Register</x:v>
      </x:c>
      <x:c r="D1" s="2" t="str">
        <x:v>Drone Component Candidate Register</x:v>
      </x:c>
      <x:c r="E1" s="2" t="str">
        <x:v>Drone Component Candidate Register</x:v>
      </x:c>
      <x:c r="F1" s="2" t="str">
        <x:v>Drone Component Candidate Register</x:v>
      </x:c>
      <x:c r="G1" s="2" t="str">
        <x:v>Drone Component Candidate Register</x:v>
      </x:c>
      <x:c r="H1" s="2" t="str">
        <x:v>Drone Component Candidate Register</x:v>
      </x:c>
      <x:c r="I1" s="2" t="str">
        <x:v>Drone Component Candidate Register</x:v>
      </x:c>
      <x:c r="J1" s="2" t="str">
        <x:v>Drone Component Candidate Register</x:v>
      </x:c>
      <x:c r="K1" s="2" t="str">
        <x:v>Drone Component Candidate Register</x:v>
      </x:c>
      <x:c r="L1" s="2" t="str">
        <x:v>Drone Component Candidate Register</x:v>
      </x:c>
    </x:row>
    <x:row r="2">
      <x:c r="A2" s="3" t="str">
        <x:v>Source-linked catalog research; 'Verify' and 'estimated' entries must be confirmed before selection.</x:v>
      </x:c>
      <x:c r="B2" s="3" t="str">
        <x:v>Source-linked catalog research; 'Verify' and 'estimated' entries must be confirmed before selection.</x:v>
      </x:c>
      <x:c r="C2" s="3" t="str">
        <x:v>Source-linked catalog research; 'Verify' and 'estimated' entries must be confirmed before selection.</x:v>
      </x:c>
      <x:c r="D2" s="3" t="str">
        <x:v>Source-linked catalog research; 'Verify' and 'estimated' entries must be confirmed before selection.</x:v>
      </x:c>
      <x:c r="E2" s="3" t="str">
        <x:v>Source-linked catalog research; 'Verify' and 'estimated' entries must be confirmed before selection.</x:v>
      </x:c>
      <x:c r="F2" s="3" t="str">
        <x:v>Source-linked catalog research; 'Verify' and 'estimated' entries must be confirmed before selection.</x:v>
      </x:c>
      <x:c r="G2" s="3" t="str">
        <x:v>Source-linked catalog research; 'Verify' and 'estimated' entries must be confirmed before selection.</x:v>
      </x:c>
      <x:c r="H2" s="3" t="str">
        <x:v>Source-linked catalog research; 'Verify' and 'estimated' entries must be confirmed before selection.</x:v>
      </x:c>
    </x:row>
    <x:row r="4" ht="34" customHeight="1">
      <x:c r="A4" s="7" t="str">
        <x:v>Category</x:v>
      </x:c>
      <x:c r="B4" s="7" t="str">
        <x:v>Product</x:v>
      </x:c>
      <x:c r="C4" s="7" t="str">
        <x:v>Function</x:v>
      </x:c>
      <x:c r="D4" s="7" t="str">
        <x:v>Mass (g)</x:v>
      </x:c>
      <x:c r="E4" s="7" t="str">
        <x:v>Dimensions</x:v>
      </x:c>
      <x:c r="F4" s="7" t="str">
        <x:v>Voltage</x:v>
      </x:c>
      <x:c r="G4" s="7" t="str">
        <x:v>Key specifications</x:v>
      </x:c>
      <x:c r="H4" s="7" t="str">
        <x:v>Engineering assessment</x:v>
      </x:c>
      <x:c r="I4" s="7" t="str">
        <x:v>Price</x:v>
      </x:c>
      <x:c r="J4" s="7" t="str">
        <x:v>Evidence basis</x:v>
      </x:c>
      <x:c r="K4" s="7" t="str">
        <x:v>Current disposition</x:v>
      </x:c>
      <x:c r="L4" s="7" t="str">
        <x:v>Source URL</x:v>
      </x:c>
    </x:row>
    <x:row r="5">
      <x:c r="A5" s="10" t="str">
        <x:v>Flight Controller</x:v>
      </x:c>
      <x:c r="B5" s="10" t="str">
        <x:v>Holybro Kakute H7 Mini</x:v>
      </x:c>
      <x:c r="C5" s="10" t="str">
        <x:v>FC</x:v>
      </x:c>
      <x:c r="D5" s="10" t="str">
        <x:v>5.5</x:v>
      </x:c>
      <x:c r="E5" s="10" t="str">
        <x:v>31 x 30 x 6</x:v>
      </x:c>
      <x:c r="F5" s="10" t="str">
        <x:v>2-6S</x:v>
      </x:c>
      <x:c r="G5" s="10" t="str">
        <x:v>STM32H743 480 MHz; ICM-42688-P; SPA06; 6 UART; 128 Mbit flash</x:v>
      </x:c>
      <x:c r="H5" s="10" t="str">
        <x:v>ArduPilot supported; strong logging/autonomy baseline</x:v>
      </x:c>
      <x:c r="I5" s="10" t="str">
        <x:v>$58.99</x:v>
      </x:c>
      <x:c r="J5" s="10" t="str">
        <x:v>Datasheet</x:v>
      </x:c>
      <x:c r="K5" s="10" t="str">
        <x:v>Recommended baseline</x:v>
      </x:c>
      <x:c r="L5" s="10" t="str">
        <x:v>https://holybro.com/products/kakute-h7-mini</x:v>
      </x:c>
    </x:row>
    <x:row r="6">
      <x:c r="A6" s="10" t="str">
        <x:v>Flight Controller</x:v>
      </x:c>
      <x:c r="B6" s="10" t="str">
        <x:v>Matek H743-MINI</x:v>
      </x:c>
      <x:c r="C6" s="10" t="str">
        <x:v>FC</x:v>
      </x:c>
      <x:c r="D6" s="10" t="str">
        <x:v>7.0</x:v>
      </x:c>
      <x:c r="E6" s="10" t="str">
        <x:v>36 x 28 x 6.5</x:v>
      </x:c>
      <x:c r="F6" s="10" t="str">
        <x:v>2-8S</x:v>
      </x:c>
      <x:c r="G6" s="10" t="str">
        <x:v>STM32H743; dual IMU; DPS310; microSD; CAN; 5.5 UART</x:v>
      </x:c>
      <x:c r="H6" s="10" t="str">
        <x:v>ArduPilot target; strongest redundancy, slightly heavier</x:v>
      </x:c>
      <x:c r="I6" s="10" t="str">
        <x:v>Verify</x:v>
      </x:c>
      <x:c r="J6" s="10" t="str">
        <x:v>Datasheet</x:v>
      </x:c>
      <x:c r="K6" s="10" t="str">
        <x:v>Strong alternative</x:v>
      </x:c>
      <x:c r="L6" s="10" t="str">
        <x:v>https://www.mateksys.com/?portfolio=h743-mini</x:v>
      </x:c>
    </x:row>
    <x:row r="7">
      <x:c r="A7" s="10" t="str">
        <x:v>Flight Controller/AIO</x:v>
      </x:c>
      <x:c r="B7" s="10" t="str">
        <x:v>BETAFPV F4 2-3S 20A AIO V1</x:v>
      </x:c>
      <x:c r="C7" s="10" t="str">
        <x:v>FC + 4-in-1 ESC</x:v>
      </x:c>
      <x:c r="D7" s="10" t="str">
        <x:v>5.58-5.92</x:v>
      </x:c>
      <x:c r="E7" s="10" t="str">
        <x:v>26 x 26</x:v>
      </x:c>
      <x:c r="F7" s="10" t="str">
        <x:v>2-3S</x:v>
      </x:c>
      <x:c r="G7" s="10" t="str">
        <x:v>STM32F405; ICM42688P/42605; barometer; 16 MB; 20A continuous</x:v>
      </x:c>
      <x:c r="H7" s="10" t="str">
        <x:v>Very low system mass; firmware/autonomy compatibility must be verified</x:v>
      </x:c>
      <x:c r="I7" s="10" t="str">
        <x:v>$54.99</x:v>
      </x:c>
      <x:c r="J7" s="10" t="str">
        <x:v>Datasheet</x:v>
      </x:c>
      <x:c r="K7" s="10" t="str">
        <x:v>Mass-leading candidate</x:v>
      </x:c>
      <x:c r="L7" s="10" t="str">
        <x:v>https://betafpv.com/products/f4-2-3s-20a-aio-fc-v1</x:v>
      </x:c>
    </x:row>
    <x:row r="8">
      <x:c r="A8" s="10" t="str">
        <x:v>Flight Controller/AIO</x:v>
      </x:c>
      <x:c r="B8" s="10" t="str">
        <x:v>BETAFPV F405 2-4S AIO V3</x:v>
      </x:c>
      <x:c r="C8" s="10" t="str">
        <x:v>FC + 4-in-1 ESC</x:v>
      </x:c>
      <x:c r="D8" s="10" t="str">
        <x:v>Verify</x:v>
      </x:c>
      <x:c r="E8" s="10" t="str">
        <x:v>26 x 26</x:v>
      </x:c>
      <x:c r="F8" s="10" t="str">
        <x:v>2-4S</x:v>
      </x:c>
      <x:c r="G8" s="10" t="str">
        <x:v>F405 AIO; 12A/20A variants</x:v>
      </x:c>
      <x:c r="H8" s="10" t="str">
        <x:v>Attractive packaging; exact variant and firmware support need verification</x:v>
      </x:c>
      <x:c r="I8" s="10" t="str">
        <x:v>Verify</x:v>
      </x:c>
      <x:c r="J8" s="10" t="str">
        <x:v>Partial datasheet</x:v>
      </x:c>
      <x:c r="K8" s="10" t="str">
        <x:v>Research candidate</x:v>
      </x:c>
      <x:c r="L8" s="10" t="str">
        <x:v>https://betafpv.com/products/f405-20a-aio-2-4s-brushless-flight-controllerblheli_s-v3</x:v>
      </x:c>
    </x:row>
    <x:row r="9">
      <x:c r="A9" s="10" t="str">
        <x:v>Flight Controller/AIO</x:v>
      </x:c>
      <x:c r="B9" s="10" t="str">
        <x:v>Happymodel X12 Lite</x:v>
      </x:c>
      <x:c r="C9" s="10" t="str">
        <x:v>FC + 4-in-1 ESC + ELRS</x:v>
      </x:c>
      <x:c r="D9" s="10" t="str">
        <x:v>Verify</x:v>
      </x:c>
      <x:c r="E9" s="10" t="str">
        <x:v>Whoop AIO</x:v>
      </x:c>
      <x:c r="F9" s="10" t="str">
        <x:v>2S</x:v>
      </x:c>
      <x:c r="G9" s="10" t="str">
        <x:v>F411; ICM42688P; 12A ESC; ELRS</x:v>
      </x:c>
      <x:c r="H9" s="10" t="str">
        <x:v>High integration; F411 resources and autonomy support are limiting</x:v>
      </x:c>
      <x:c r="I9" s="10" t="str">
        <x:v>Verify</x:v>
      </x:c>
      <x:c r="J9" s="10" t="str">
        <x:v>Reference platform</x:v>
      </x:c>
      <x:c r="K9" s="10" t="str">
        <x:v>Prototype-only candidate</x:v>
      </x:c>
      <x:c r="L9" s="10" t="str">
        <x:v>https://www.happymodel.cn/index.php/2023/03/21/bassline-digital-hd-2s-toothpick-fpv-drone-built-in-walksnail-or-hdzero-vtx/</x:v>
      </x:c>
    </x:row>
    <x:row r="10">
      <x:c r="A10" s="10" t="str">
        <x:v>Flight Platform</x:v>
      </x:c>
      <x:c r="B10" s="10" t="str">
        <x:v>Crazyflie 2.1 Brushless</x:v>
      </x:c>
      <x:c r="C10" s="10" t="str">
        <x:v>Integrated platform</x:v>
      </x:c>
      <x:c r="D10" s="10" t="str">
        <x:v>32-37</x:v>
      </x:c>
      <x:c r="E10" s="10" t="str">
        <x:v>Platform</x:v>
      </x:c>
      <x:c r="F10" s="10" t="str">
        <x:v>1S</x:v>
      </x:c>
      <x:c r="G10" s="10" t="str">
        <x:v>STM32F405; BMI088; BMP388; 5A ESCs; radio</x:v>
      </x:c>
      <x:c r="H10" s="10" t="str">
        <x:v>Excellent research ecosystem; limited payload/thrust for custom guarded frame</x:v>
      </x:c>
      <x:c r="I10" s="10" t="str">
        <x:v>Verify</x:v>
      </x:c>
      <x:c r="J10" s="10" t="str">
        <x:v>Datasheet</x:v>
      </x:c>
      <x:c r="K10" s="10" t="str">
        <x:v>Benchmark / research option</x:v>
      </x:c>
      <x:c r="L10" s="10" t="str">
        <x:v>https://www.bitcraze.io/products/crazyflie-2-1-brushless/</x:v>
      </x:c>
    </x:row>
    <x:row r="11">
      <x:c r="A11" s="10" t="str">
        <x:v>Flight Controller</x:v>
      </x:c>
      <x:c r="B11" s="10" t="str">
        <x:v>SpeedyBee F405 Wing Mini</x:v>
      </x:c>
      <x:c r="C11" s="10" t="str">
        <x:v>Fixed-wing FC</x:v>
      </x:c>
      <x:c r="D11" s="10" t="str">
        <x:v>5.5</x:v>
      </x:c>
      <x:c r="E11" s="10" t="str">
        <x:v>Compact</x:v>
      </x:c>
      <x:c r="F11" s="10" t="str">
        <x:v>2-6S</x:v>
      </x:c>
      <x:c r="G11" s="10" t="str">
        <x:v>F405; fixed-wing I/O</x:v>
      </x:c>
      <x:c r="H11" s="10" t="str">
        <x:v>Low mass but wrong control/output architecture for this quad</x:v>
      </x:c>
      <x:c r="I11" s="10" t="str">
        <x:v>Verify</x:v>
      </x:c>
      <x:c r="J11" s="10" t="str">
        <x:v>Datasheet</x:v>
      </x:c>
      <x:c r="K11" s="10" t="str">
        <x:v>Not recommended</x:v>
      </x:c>
      <x:c r="L11" s="10" t="str">
        <x:v>https://www.speedybee.com/speedybee-f405-wing-mini-fixed-wing-flight-controller/</x:v>
      </x:c>
    </x:row>
    <x:row r="12">
      <x:c r="A12" s="10" t="str">
        <x:v>Motor</x:v>
      </x:c>
      <x:c r="B12" s="10" t="str">
        <x:v>Happymodel EX1103 11000KV</x:v>
      </x:c>
      <x:c r="C12" s="10" t="str">
        <x:v>Motor</x:v>
      </x:c>
      <x:c r="D12" s="10" t="str">
        <x:v>3.8 each</x:v>
      </x:c>
      <x:c r="E12" s="10" t="str">
        <x:v>11 x 3 stator</x:v>
      </x:c>
      <x:c r="F12" s="10" t="str">
        <x:v>1-2S</x:v>
      </x:c>
      <x:c r="G12" s="10" t="str">
        <x:v>Official 2S/2023R curve: 121.9 g at 9.2 A max</x:v>
      </x:c>
      <x:c r="H12" s="10" t="str">
        <x:v>Best documented 2S candidate; curve supports auditable model</x:v>
      </x:c>
      <x:c r="I12" s="10" t="str">
        <x:v>Verify</x:v>
      </x:c>
      <x:c r="J12" s="10" t="str">
        <x:v>Bench curve</x:v>
      </x:c>
      <x:c r="K12" s="10" t="str">
        <x:v>Recommended baseline</x:v>
      </x:c>
      <x:c r="L12" s="10" t="str">
        <x:v>https://www.happymodel.cn/index.php/2022/09/05/bassline-spare-part-ex1103-kv11000-brushless-motor/</x:v>
      </x:c>
    </x:row>
    <x:row r="13">
      <x:c r="A13" s="10" t="str">
        <x:v>Motor</x:v>
      </x:c>
      <x:c r="B13" s="10" t="str">
        <x:v>BETAFPV 1103 11000KV</x:v>
      </x:c>
      <x:c r="C13" s="10" t="str">
        <x:v>Motor</x:v>
      </x:c>
      <x:c r="D13" s="10" t="str">
        <x:v>3.3 each</x:v>
      </x:c>
      <x:c r="E13" s="10" t="str">
        <x:v>1103</x:v>
      </x:c>
      <x:c r="F13" s="10" t="str">
        <x:v>2S</x:v>
      </x:c>
      <x:c r="G13" s="10" t="str">
        <x:v>Recommended 40 mm 4-blade or 3020 2-blade</x:v>
      </x:c>
      <x:c r="H13" s="10" t="str">
        <x:v>Very light; thrust curve must be bench-tested</x:v>
      </x:c>
      <x:c r="I13" s="10" t="str">
        <x:v>$39.99/set</x:v>
      </x:c>
      <x:c r="J13" s="10" t="str">
        <x:v>Datasheet</x:v>
      </x:c>
      <x:c r="K13" s="10" t="str">
        <x:v>Strong lightweight candidate</x:v>
      </x:c>
      <x:c r="L13" s="10" t="str">
        <x:v>https://betafpv.com/products/1103-brushless-motors</x:v>
      </x:c>
    </x:row>
    <x:row r="14">
      <x:c r="A14" s="10" t="str">
        <x:v>Motor</x:v>
      </x:c>
      <x:c r="B14" s="10" t="str">
        <x:v>BETAFPV 1103 8000KV</x:v>
      </x:c>
      <x:c r="C14" s="10" t="str">
        <x:v>Motor</x:v>
      </x:c>
      <x:c r="D14" s="10" t="str">
        <x:v>3.8 each</x:v>
      </x:c>
      <x:c r="E14" s="10" t="str">
        <x:v>1103</x:v>
      </x:c>
      <x:c r="F14" s="10" t="str">
        <x:v>3S</x:v>
      </x:c>
      <x:c r="G14" s="10" t="str">
        <x:v>Lower KV 3S variant</x:v>
      </x:c>
      <x:c r="H14" s="10" t="str">
        <x:v>Higher voltage alternative; guard/prop and risk implications</x:v>
      </x:c>
      <x:c r="I14" s="10" t="str">
        <x:v>$39.99/set</x:v>
      </x:c>
      <x:c r="J14" s="10" t="str">
        <x:v>Datasheet</x:v>
      </x:c>
      <x:c r="K14" s="10" t="str">
        <x:v>Alternative architecture</x:v>
      </x:c>
      <x:c r="L14" s="10" t="str">
        <x:v>https://betafpv.com/products/1103-brushless-motors</x:v>
      </x:c>
    </x:row>
    <x:row r="15">
      <x:c r="A15" s="10" t="str">
        <x:v>Motor</x:v>
      </x:c>
      <x:c r="B15" s="10" t="str">
        <x:v>BETAFPV 1103 15000KV</x:v>
      </x:c>
      <x:c r="C15" s="10" t="str">
        <x:v>Motor</x:v>
      </x:c>
      <x:c r="D15" s="10" t="str">
        <x:v>3.7 each</x:v>
      </x:c>
      <x:c r="E15" s="10" t="str">
        <x:v>1103</x:v>
      </x:c>
      <x:c r="F15" s="10" t="str">
        <x:v>1S</x:v>
      </x:c>
      <x:c r="G15" s="10" t="str">
        <x:v>High-KV 1S variant</x:v>
      </x:c>
      <x:c r="H15" s="10" t="str">
        <x:v>Simpler battery but likely lower recovery authority at project mass</x:v>
      </x:c>
      <x:c r="I15" s="10" t="str">
        <x:v>$39.99/set</x:v>
      </x:c>
      <x:c r="J15" s="10" t="str">
        <x:v>Datasheet</x:v>
      </x:c>
      <x:c r="K15" s="10" t="str">
        <x:v>Benchmark only</x:v>
      </x:c>
      <x:c r="L15" s="10" t="str">
        <x:v>https://betafpv.com/products/1103-brushless-motors</x:v>
      </x:c>
    </x:row>
    <x:row r="16">
      <x:c r="A16" s="10" t="str">
        <x:v>Motor</x:v>
      </x:c>
      <x:c r="B16" s="10" t="str">
        <x:v>Flywoo ROBO 1202.5 11500KV</x:v>
      </x:c>
      <x:c r="C16" s="10" t="str">
        <x:v>Motor</x:v>
      </x:c>
      <x:c r="D16" s="10" t="str">
        <x:v>3.8 each</x:v>
      </x:c>
      <x:c r="E16" s="10" t="str">
        <x:v>12 x 2.5 stator</x:v>
      </x:c>
      <x:c r="F16" s="10" t="str">
        <x:v>1-2S</x:v>
      </x:c>
      <x:c r="G16" s="10" t="str">
        <x:v>1.5 mm shaft</x:v>
      </x:c>
      <x:c r="H16" s="10" t="str">
        <x:v>Compact alternative; requires measured curve</x:v>
      </x:c>
      <x:c r="I16" s="10" t="str">
        <x:v>$12.99 each</x:v>
      </x:c>
      <x:c r="J16" s="10" t="str">
        <x:v>Datasheet</x:v>
      </x:c>
      <x:c r="K16" s="10" t="str">
        <x:v>Research candidate</x:v>
      </x:c>
      <x:c r="L16" s="10" t="str">
        <x:v>https://flywoo.net/products/flywoo-robo-1202.5-11500kv-fpv-motor-gold-purple-new-version-</x:v>
      </x:c>
    </x:row>
    <x:row r="17">
      <x:c r="A17" s="10" t="str">
        <x:v>Motor</x:v>
      </x:c>
      <x:c r="B17" s="10" t="str">
        <x:v>Crazyflie 08028 10000KV</x:v>
      </x:c>
      <x:c r="C17" s="10" t="str">
        <x:v>Motor</x:v>
      </x:c>
      <x:c r="D17" s="10" t="str">
        <x:v>2.3 each</x:v>
      </x:c>
      <x:c r="E17" s="10" t="str">
        <x:v>08028</x:v>
      </x:c>
      <x:c r="F17" s="10" t="str">
        <x:v>1S</x:v>
      </x:c>
      <x:c r="G17" s="10" t="str">
        <x:v>Up to 30 g thrust with 55 mm prop</x:v>
      </x:c>
      <x:c r="H17" s="10" t="str">
        <x:v>Mass-leading but insufficient for a 140-180 g custom vehicle</x:v>
      </x:c>
      <x:c r="I17" s="10" t="str">
        <x:v>Verify</x:v>
      </x:c>
      <x:c r="J17" s="10" t="str">
        <x:v>Datasheet</x:v>
      </x:c>
      <x:c r="K17" s="10" t="str">
        <x:v>Benchmark only</x:v>
      </x:c>
      <x:c r="L17" s="10" t="str">
        <x:v>https://store.bitcraze.io/products/crazyflie-2-1-brushless-08028-10000kv-brushless-motor</x:v>
      </x:c>
    </x:row>
    <x:row r="18">
      <x:c r="A18" s="10" t="str">
        <x:v>Motor</x:v>
      </x:c>
      <x:c r="B18" s="10" t="str">
        <x:v>BETAFPV Aquila20 1103 10500KV</x:v>
      </x:c>
      <x:c r="C18" s="10" t="str">
        <x:v>Motor</x:v>
      </x:c>
      <x:c r="D18" s="10" t="str">
        <x:v>3.5 each</x:v>
      </x:c>
      <x:c r="E18" s="10" t="str">
        <x:v>1103</x:v>
      </x:c>
      <x:c r="F18" s="10" t="str">
        <x:v>2S</x:v>
      </x:c>
      <x:c r="G18" s="10" t="str">
        <x:v>Paired with 2218 props and 1100 mAh pack</x:v>
      </x:c>
      <x:c r="H18" s="10" t="str">
        <x:v>Useful endurance benchmark; thrust curve unavailable</x:v>
      </x:c>
      <x:c r="I18" s="10" t="str">
        <x:v>Verify</x:v>
      </x:c>
      <x:c r="J18" s="10" t="str">
        <x:v>Datasheet/reference platform</x:v>
      </x:c>
      <x:c r="K18" s="10" t="str">
        <x:v>Endurance candidate</x:v>
      </x:c>
      <x:c r="L18" s="10" t="str">
        <x:v>https://betafpv.com/collections/1102-1104-motors/products/1103-brushless-motors-aquila20</x:v>
      </x:c>
    </x:row>
    <x:row r="19">
      <x:c r="A19" s="10" t="str">
        <x:v>Motor</x:v>
      </x:c>
      <x:c r="B19" s="10" t="str">
        <x:v>BETAFPV LAVA 1104 7200KV</x:v>
      </x:c>
      <x:c r="C19" s="10" t="str">
        <x:v>Motor</x:v>
      </x:c>
      <x:c r="D19" s="10" t="str">
        <x:v>5.3 each</x:v>
      </x:c>
      <x:c r="E19" s="10" t="str">
        <x:v>1104</x:v>
      </x:c>
      <x:c r="F19" s="10" t="str">
        <x:v>3S</x:v>
      </x:c>
      <x:c r="G19" s="10" t="str">
        <x:v>Max 10.2 A; &gt;230 g claimed thrust with 2218 prop</x:v>
      </x:c>
      <x:c r="H19" s="10" t="str">
        <x:v>High authority, but raises speed/current/mass risk</x:v>
      </x:c>
      <x:c r="I19" s="10" t="str">
        <x:v>Verify</x:v>
      </x:c>
      <x:c r="J19" s="10" t="str">
        <x:v>Datasheet</x:v>
      </x:c>
      <x:c r="K19" s="10" t="str">
        <x:v>High-power alternative</x:v>
      </x:c>
      <x:c r="L19" s="10" t="str">
        <x:v>https://betafpv.com/collections/1102-1104-motors/products/lava-series-1104-brushless-motors</x:v>
      </x:c>
    </x:row>
    <x:row r="20">
      <x:c r="A20" s="10" t="str">
        <x:v>Motor</x:v>
      </x:c>
      <x:c r="B20" s="10" t="str">
        <x:v>Happymodel EX1103 6000/7000/8000/12000KV</x:v>
      </x:c>
      <x:c r="C20" s="10" t="str">
        <x:v>Motor</x:v>
      </x:c>
      <x:c r="D20" s="10" t="str">
        <x:v>Verify</x:v>
      </x:c>
      <x:c r="E20" s="10" t="str">
        <x:v>1103</x:v>
      </x:c>
      <x:c r="F20" s="10" t="str">
        <x:v>2-4S</x:v>
      </x:c>
      <x:c r="G20" s="10" t="str">
        <x:v>Broad voltage/KV family</x:v>
      </x:c>
      <x:c r="H20" s="10" t="str">
        <x:v>Useful for later voltage trade; curve must match exact variant</x:v>
      </x:c>
      <x:c r="I20" s="10" t="str">
        <x:v>Verify</x:v>
      </x:c>
      <x:c r="J20" s="10" t="str">
        <x:v>Datasheet</x:v>
      </x:c>
      <x:c r="K20" s="10" t="str">
        <x:v>Research family</x:v>
      </x:c>
      <x:c r="L20" s="10" t="str">
        <x:v>https://www.happymodel.cn/index.php/2019/06/04/happymodel-ex1103-kv6000-8000-12000-2-4s-brushless-motor/</x:v>
      </x:c>
    </x:row>
    <x:row r="21">
      <x:c r="A21" s="10" t="str">
        <x:v>Motor</x:v>
      </x:c>
      <x:c r="B21" s="10" t="str">
        <x:v>Happymodel EX1103S 7000KV</x:v>
      </x:c>
      <x:c r="C21" s="10" t="str">
        <x:v>Motor</x:v>
      </x:c>
      <x:c r="D21" s="10" t="str">
        <x:v>3.8 each</x:v>
      </x:c>
      <x:c r="E21" s="10" t="str">
        <x:v>1103</x:v>
      </x:c>
      <x:c r="F21" s="10" t="str">
        <x:v>3S class</x:v>
      </x:c>
      <x:c r="G21" s="10" t="str">
        <x:v>Larva-X upgrade motor</x:v>
      </x:c>
      <x:c r="H21" s="10" t="str">
        <x:v>Potential 3S candidate; bench data required</x:v>
      </x:c>
      <x:c r="I21" s="10" t="str">
        <x:v>Verify</x:v>
      </x:c>
      <x:c r="J21" s="10" t="str">
        <x:v>Datasheet</x:v>
      </x:c>
      <x:c r="K21" s="10" t="str">
        <x:v>Research candidate</x:v>
      </x:c>
      <x:c r="L21" s="10" t="str">
        <x:v>https://www.happymodel.cn/index.php/2019/10/24/happymodel-ex1103s-kv7000-motors-upgrade-for-larva-x/</x:v>
      </x:c>
    </x:row>
    <x:row r="22">
      <x:c r="A22" s="10" t="str">
        <x:v>Propeller</x:v>
      </x:c>
      <x:c r="B22" s="10" t="str">
        <x:v>Gemfan 2015-2</x:v>
      </x:c>
      <x:c r="C22" s="10" t="str">
        <x:v>2-blade prop</x:v>
      </x:c>
      <x:c r="D22" s="10" t="str">
        <x:v>0.5 each</x:v>
      </x:c>
      <x:c r="E22" s="10" t="str">
        <x:v>2.0 in x 1.5 pitch</x:v>
      </x:c>
      <x:c r="F22" s="10" t="str">
        <x:v>Motor dependent</x:v>
      </x:c>
      <x:c r="G22" s="10" t="str">
        <x:v>PC; 1/1.5 mm shaft</x:v>
      </x:c>
      <x:c r="H22" s="10" t="str">
        <x:v>Low mass/drag; used by Meteor85 2S reference</x:v>
      </x:c>
      <x:c r="I22" s="10" t="str">
        <x:v>Verify</x:v>
      </x:c>
      <x:c r="J22" s="10" t="str">
        <x:v>Datasheet</x:v>
      </x:c>
      <x:c r="K22" s="10" t="str">
        <x:v>Recommended low-load prop</x:v>
      </x:c>
      <x:c r="L22" s="10" t="str">
        <x:v>https://www.gemfanhobby.com/2015-pc-2-blade.html</x:v>
      </x:c>
    </x:row>
    <x:row r="23">
      <x:c r="A23" s="10" t="str">
        <x:v>Propeller</x:v>
      </x:c>
      <x:c r="B23" s="10" t="str">
        <x:v>Gemfan 2023S-3</x:v>
      </x:c>
      <x:c r="C23" s="10" t="str">
        <x:v>3-blade prop</x:v>
      </x:c>
      <x:c r="D23" s="10" t="str">
        <x:v>0.7 each</x:v>
      </x:c>
      <x:c r="E23" s="10" t="str">
        <x:v>50.8 mm x 2.0 pitch</x:v>
      </x:c>
      <x:c r="F23" s="10" t="str">
        <x:v>Motor dependent</x:v>
      </x:c>
      <x:c r="G23" s="10" t="str">
        <x:v>PC; 1.5 mm shaft</x:v>
      </x:c>
      <x:c r="H23" s="10" t="str">
        <x:v>Balanced 2-inch tri-blade option</x:v>
      </x:c>
      <x:c r="I23" s="10" t="str">
        <x:v>Verify</x:v>
      </x:c>
      <x:c r="J23" s="10" t="str">
        <x:v>Datasheet</x:v>
      </x:c>
      <x:c r="K23" s="10" t="str">
        <x:v>Strong candidate</x:v>
      </x:c>
      <x:c r="L23" s="10" t="str">
        <x:v>https://www.gemfanhobby.com/2023s-hurricane-pc-3-blade.html</x:v>
      </x:c>
    </x:row>
    <x:row r="24">
      <x:c r="A24" s="10" t="str">
        <x:v>Propeller</x:v>
      </x:c>
      <x:c r="B24" s="10" t="str">
        <x:v>Gemfan 2023-3</x:v>
      </x:c>
      <x:c r="C24" s="10" t="str">
        <x:v>3-blade prop</x:v>
      </x:c>
      <x:c r="D24" s="10" t="str">
        <x:v>0.88 each</x:v>
      </x:c>
      <x:c r="E24" s="10" t="str">
        <x:v>52.17 mm x 2.3 pitch</x:v>
      </x:c>
      <x:c r="F24" s="10" t="str">
        <x:v>Motor dependent</x:v>
      </x:c>
      <x:c r="G24" s="10" t="str">
        <x:v>1.5 mm T-mount</x:v>
      </x:c>
      <x:c r="H24" s="10" t="str">
        <x:v>Used with EX1103 reference curve/platform</x:v>
      </x:c>
      <x:c r="I24" s="10" t="str">
        <x:v>Verify</x:v>
      </x:c>
      <x:c r="J24" s="10" t="str">
        <x:v>Datasheet</x:v>
      </x:c>
      <x:c r="K24" s="10" t="str">
        <x:v>Recommended baseline</x:v>
      </x:c>
      <x:c r="L24" s="10" t="str">
        <x:v>https://www.gemfanhobby.com/2023-hurricane-pc-3-blade.html</x:v>
      </x:c>
    </x:row>
    <x:row r="25">
      <x:c r="A25" s="10" t="str">
        <x:v>Propeller</x:v>
      </x:c>
      <x:c r="B25" s="10" t="str">
        <x:v>Gemfan 2218-3</x:v>
      </x:c>
      <x:c r="C25" s="10" t="str">
        <x:v>3-blade prop</x:v>
      </x:c>
      <x:c r="D25" s="10" t="str">
        <x:v>0.58 each</x:v>
      </x:c>
      <x:c r="E25" s="10" t="str">
        <x:v>55.9 mm x 1.8 pitch</x:v>
      </x:c>
      <x:c r="F25" s="10" t="str">
        <x:v>Motor dependent</x:v>
      </x:c>
      <x:c r="G25" s="10" t="str">
        <x:v>1.5 mm shaft; 2.32 g/set</x:v>
      </x:c>
      <x:c r="H25" s="10" t="str">
        <x:v>Used on Aquila/Pavo; more disk area</x:v>
      </x:c>
      <x:c r="I25" s="10" t="str">
        <x:v>Verify</x:v>
      </x:c>
      <x:c r="J25" s="10" t="str">
        <x:v>Datasheet</x:v>
      </x:c>
      <x:c r="K25" s="10" t="str">
        <x:v>Endurance/duct candidate</x:v>
      </x:c>
      <x:c r="L25" s="10" t="str">
        <x:v>https://betafpv.com/products/gemfan-2218-3-blade-propellers-1-5mm-shaft</x:v>
      </x:c>
    </x:row>
    <x:row r="26">
      <x:c r="A26" s="10" t="str">
        <x:v>Propeller</x:v>
      </x:c>
      <x:c r="B26" s="10" t="str">
        <x:v>Gemfan 2036-4</x:v>
      </x:c>
      <x:c r="C26" s="10" t="str">
        <x:v>4-blade prop</x:v>
      </x:c>
      <x:c r="D26" s="10" t="str">
        <x:v>0.84 each</x:v>
      </x:c>
      <x:c r="E26" s="10" t="str">
        <x:v>52 mm x 3.6 pitch</x:v>
      </x:c>
      <x:c r="F26" s="10" t="str">
        <x:v>Motor dependent</x:v>
      </x:c>
      <x:c r="G26" s="10" t="str">
        <x:v>3-hole mount</x:v>
      </x:c>
      <x:c r="H26" s="10" t="str">
        <x:v>High load/authority; current and efficiency penalty</x:v>
      </x:c>
      <x:c r="I26" s="10" t="str">
        <x:v>Verify</x:v>
      </x:c>
      <x:c r="J26" s="10" t="str">
        <x:v>Datasheet</x:v>
      </x:c>
      <x:c r="K26" s="10" t="str">
        <x:v>High-load candidate</x:v>
      </x:c>
      <x:c r="L26" s="10" t="str">
        <x:v>https://www.gemfanhobby.com/2036-hulkie-pc-4-blade-3-holes</x:v>
      </x:c>
    </x:row>
    <x:row r="27">
      <x:c r="A27" s="10" t="str">
        <x:v>Propeller</x:v>
      </x:c>
      <x:c r="B27" s="10" t="str">
        <x:v>Gemfan D2.5-3 ducted</x:v>
      </x:c>
      <x:c r="C27" s="10" t="str">
        <x:v>3-blade duct prop</x:v>
      </x:c>
      <x:c r="D27" s="10" t="str">
        <x:v>1.2 each</x:v>
      </x:c>
      <x:c r="E27" s="10" t="str">
        <x:v>63.5 mm x 2.4 pitch</x:v>
      </x:c>
      <x:c r="F27" s="10" t="str">
        <x:v>Motor dependent</x:v>
      </x:c>
      <x:c r="G27" s="10" t="str">
        <x:v>Recommended 1404 motor</x:v>
      </x:c>
      <x:c r="H27" s="10" t="str">
        <x:v>Outside current 1103 baseline; useful larger protected concept</x:v>
      </x:c>
      <x:c r="I27" s="10" t="str">
        <x:v>Verify</x:v>
      </x:c>
      <x:c r="J27" s="10" t="str">
        <x:v>Datasheet</x:v>
      </x:c>
      <x:c r="K27" s="10" t="str">
        <x:v>Deferred larger concept</x:v>
      </x:c>
      <x:c r="L27" s="10" t="str">
        <x:v>https://www.gemfanhobby.com/d25-ducted-pc-3-blade.html</x:v>
      </x:c>
    </x:row>
    <x:row r="28">
      <x:c r="A28" s="10" t="str">
        <x:v>Propeller</x:v>
      </x:c>
      <x:c r="B28" s="10" t="str">
        <x:v>Crazyflie optimized 55 mm</x:v>
      </x:c>
      <x:c r="C28" s="10" t="str">
        <x:v>2-blade prop</x:v>
      </x:c>
      <x:c r="D28" s="10" t="str">
        <x:v>Verify</x:v>
      </x:c>
      <x:c r="E28" s="10" t="str">
        <x:v>55 mm / 35 mm pitch</x:v>
      </x:c>
      <x:c r="F28" s="10" t="str">
        <x:v>1S platform</x:v>
      </x:c>
      <x:c r="G28" s="10" t="str">
        <x:v>Optimized for Crazyflie brushless platform</x:v>
      </x:c>
      <x:c r="H28" s="10" t="str">
        <x:v>Low-thrust benchmark only</x:v>
      </x:c>
      <x:c r="I28" s="10" t="str">
        <x:v>Verify</x:v>
      </x:c>
      <x:c r="J28" s="10" t="str">
        <x:v>Reference platform</x:v>
      </x:c>
      <x:c r="K28" s="10" t="str">
        <x:v>Benchmark only</x:v>
      </x:c>
      <x:c r="L28" s="10" t="str">
        <x:v>https://www.bitcraze.io/products/crazyflie-2-1-brushless/</x:v>
      </x:c>
    </x:row>
    <x:row r="29">
      <x:c r="A29" s="10" t="str">
        <x:v>Battery</x:v>
      </x:c>
      <x:c r="B29" s="10" t="str">
        <x:v>BETAFPV LAVA 450 mAh 2S LiHV</x:v>
      </x:c>
      <x:c r="C29" s="10" t="str">
        <x:v>Pouch pack</x:v>
      </x:c>
      <x:c r="D29" s="10" t="str">
        <x:v>26.1</x:v>
      </x:c>
      <x:c r="E29" s="10" t="str">
        <x:v>63 x 15.5 x 13.5</x:v>
      </x:c>
      <x:c r="F29" s="10" t="str">
        <x:v>2S 7.6 V</x:v>
      </x:c>
      <x:c r="G29" s="10" t="str">
        <x:v>3.42 Wh; 75C; XT30</x:v>
      </x:c>
      <x:c r="H29" s="10" t="str">
        <x:v>Good baseline balance of mass and current capability</x:v>
      </x:c>
      <x:c r="I29" s="10" t="str">
        <x:v>Verify</x:v>
      </x:c>
      <x:c r="J29" s="10" t="str">
        <x:v>Retailer datasheet</x:v>
      </x:c>
      <x:c r="K29" s="10" t="str">
        <x:v>Recommended baseline</x:v>
      </x:c>
      <x:c r="L29" s="10" t="str">
        <x:v>https://www.fpv24.com/en/betafpv/betafpv-lava-lipo-battery-lihv-450mah-2s-2-pieces</x:v>
      </x:c>
    </x:row>
    <x:row r="30">
      <x:c r="A30" s="10" t="str">
        <x:v>Battery</x:v>
      </x:c>
      <x:c r="B30" s="10" t="str">
        <x:v>GNB 650 mAh 2S LiHV</x:v>
      </x:c>
      <x:c r="C30" s="10" t="str">
        <x:v>Pouch pack</x:v>
      </x:c>
      <x:c r="D30" s="10" t="str">
        <x:v>36</x:v>
      </x:c>
      <x:c r="E30" s="10" t="str">
        <x:v>11 mm profile</x:v>
      </x:c>
      <x:c r="F30" s="10" t="str">
        <x:v>2S 7.6 V</x:v>
      </x:c>
      <x:c r="G30" s="10" t="str">
        <x:v>120C</x:v>
      </x:c>
      <x:c r="H30" s="10" t="str">
        <x:v>More endurance/current; mass pushes recovery burden</x:v>
      </x:c>
      <x:c r="I30" s="10" t="str">
        <x:v>Verify</x:v>
      </x:c>
      <x:c r="J30" s="10" t="str">
        <x:v>Retailer datasheet</x:v>
      </x:c>
      <x:c r="K30" s="10" t="str">
        <x:v>Strong endurance candidate</x:v>
      </x:c>
      <x:c r="L30" s="10" t="str">
        <x:v>https://www.myfpvstore.com/batteries/gaoneng-gnb-lihv-2s-7-6v-650mah-120c-hv-lipo-battery-xt30/</x:v>
      </x:c>
    </x:row>
    <x:row r="31">
      <x:c r="A31" s="10" t="str">
        <x:v>Battery</x:v>
      </x:c>
      <x:c r="B31" s="10" t="str">
        <x:v>Tattu 650 mAh 2S LiPo</x:v>
      </x:c>
      <x:c r="C31" s="10" t="str">
        <x:v>Pouch pack</x:v>
      </x:c>
      <x:c r="D31" s="10" t="str">
        <x:v>43</x:v>
      </x:c>
      <x:c r="E31" s="10" t="str">
        <x:v>57 x 31 x 12</x:v>
      </x:c>
      <x:c r="F31" s="10" t="str">
        <x:v>2S 7.4 V</x:v>
      </x:c>
      <x:c r="G31" s="10" t="str">
        <x:v>75C; XT30</x:v>
      </x:c>
      <x:c r="H31" s="10" t="str">
        <x:v>Robust current rating but heavy for baseline</x:v>
      </x:c>
      <x:c r="I31" s="10" t="str">
        <x:v>Verify</x:v>
      </x:c>
      <x:c r="J31" s="10" t="str">
        <x:v>Retailer datasheet</x:v>
      </x:c>
      <x:c r="K31" s="10" t="str">
        <x:v>Heavy endurance candidate</x:v>
      </x:c>
      <x:c r="L31" s="10" t="str">
        <x:v>https://www.nextfpv.com/products/tattu-650mah-2s-75c-lipo-battery-pack</x:v>
      </x:c>
    </x:row>
    <x:row r="32">
      <x:c r="A32" s="10" t="str">
        <x:v>Battery</x:v>
      </x:c>
      <x:c r="B32" s="10" t="str">
        <x:v>Crazyflie 350 mAh 1S</x:v>
      </x:c>
      <x:c r="C32" s="10" t="str">
        <x:v>Pouch pack</x:v>
      </x:c>
      <x:c r="D32" s="10" t="str">
        <x:v>9.1</x:v>
      </x:c>
      <x:c r="E32" s="10" t="str">
        <x:v>Small</x:v>
      </x:c>
      <x:c r="F32" s="10" t="str">
        <x:v>1S 3.7 V</x:v>
      </x:c>
      <x:c r="G32" s="10" t="str">
        <x:v>30C</x:v>
      </x:c>
      <x:c r="H32" s="10" t="str">
        <x:v>Very light; insufficient voltage/energy for baseline mass</x:v>
      </x:c>
      <x:c r="I32" s="10" t="str">
        <x:v>Verify</x:v>
      </x:c>
      <x:c r="J32" s="10" t="str">
        <x:v>Datasheet</x:v>
      </x:c>
      <x:c r="K32" s="10" t="str">
        <x:v>Benchmark only</x:v>
      </x:c>
      <x:c r="L32" s="10" t="str">
        <x:v>https://store.bitcraze.io/products/350mah-lipo-battery</x:v>
      </x:c>
    </x:row>
    <x:row r="33">
      <x:c r="A33" s="10" t="str">
        <x:v>Battery</x:v>
      </x:c>
      <x:c r="B33" s="10" t="str">
        <x:v>Crazyflie 250 mAh 1S</x:v>
      </x:c>
      <x:c r="C33" s="10" t="str">
        <x:v>Pouch pack</x:v>
      </x:c>
      <x:c r="D33" s="10" t="str">
        <x:v>7.1</x:v>
      </x:c>
      <x:c r="E33" s="10" t="str">
        <x:v>Small</x:v>
      </x:c>
      <x:c r="F33" s="10" t="str">
        <x:v>1S 3.7 V</x:v>
      </x:c>
      <x:c r="G33" s="10" t="str">
        <x:v>Research platform battery</x:v>
      </x:c>
      <x:c r="H33" s="10" t="str">
        <x:v>Lightest benchmark; insufficient baseline capability</x:v>
      </x:c>
      <x:c r="I33" s="10" t="str">
        <x:v>Verify</x:v>
      </x:c>
      <x:c r="J33" s="10" t="str">
        <x:v>Datasheet</x:v>
      </x:c>
      <x:c r="K33" s="10" t="str">
        <x:v>Benchmark only</x:v>
      </x:c>
      <x:c r="L33" s="10" t="str">
        <x:v>https://www.bitcraze.io/documentation/hardware/250mah_battery/250mah_battery-datasheet.pdf</x:v>
      </x:c>
    </x:row>
    <x:row r="34">
      <x:c r="A34" s="10" t="str">
        <x:v>Battery</x:v>
      </x:c>
      <x:c r="B34" s="10" t="str">
        <x:v>Aquila20 1100 mAh 2S LiHV</x:v>
      </x:c>
      <x:c r="C34" s="10" t="str">
        <x:v>Smart pouch pack</x:v>
      </x:c>
      <x:c r="D34" s="10" t="str">
        <x:v>54.5</x:v>
      </x:c>
      <x:c r="E34" s="10" t="str">
        <x:v>Platform-specific</x:v>
      </x:c>
      <x:c r="F34" s="10" t="str">
        <x:v>2S 7.6 V</x:v>
      </x:c>
      <x:c r="G34" s="10" t="str">
        <x:v>8.74 Wh; 15C</x:v>
      </x:c>
      <x:c r="H34" s="10" t="str">
        <x:v>Proves long endurance at ~122-127 g platform mass; too heavy/risky for recovery baseline</x:v>
      </x:c>
      <x:c r="I34" s="10" t="str">
        <x:v>Verify</x:v>
      </x:c>
      <x:c r="J34" s="10" t="str">
        <x:v>Datasheet/reference platform</x:v>
      </x:c>
      <x:c r="K34" s="10" t="str">
        <x:v>Endurance benchmark</x:v>
      </x:c>
      <x:c r="L34" s="10" t="str">
        <x:v>https://betafpv.com/collections/all-drone/products/aquila20-brushless-whoop-quadcopter</x:v>
      </x:c>
    </x:row>
    <x:row r="35">
      <x:c r="A35" s="10" t="str">
        <x:v>Battery</x:v>
      </x:c>
      <x:c r="B35" s="10" t="str">
        <x:v>BETAFPV 450 mAh 2S 45C</x:v>
      </x:c>
      <x:c r="C35" s="10" t="str">
        <x:v>Pouch pack</x:v>
      </x:c>
      <x:c r="D35" s="10" t="str">
        <x:v>Verify</x:v>
      </x:c>
      <x:c r="E35" s="10" t="str">
        <x:v>Verify</x:v>
      </x:c>
      <x:c r="F35" s="10" t="str">
        <x:v>2S</x:v>
      </x:c>
      <x:c r="G35" s="10" t="str">
        <x:v>45C</x:v>
      </x:c>
      <x:c r="H35" s="10" t="str">
        <x:v>Potential lower-cost baseline; mass must be measured</x:v>
      </x:c>
      <x:c r="I35" s="10" t="str">
        <x:v>Verify</x:v>
      </x:c>
      <x:c r="J35" s="10" t="str">
        <x:v>Datasheet</x:v>
      </x:c>
      <x:c r="K35" s="10" t="str">
        <x:v>Research candidate</x:v>
      </x:c>
      <x:c r="L35" s="10" t="str">
        <x:v>https://betafpv.com/products/450mah-2s-45c-lipo-battery-2pcs</x:v>
      </x:c>
    </x:row>
    <x:row r="36">
      <x:c r="A36" s="10" t="str">
        <x:v>Battery</x:v>
      </x:c>
      <x:c r="B36" s="10" t="str">
        <x:v>BETAFPV LAVA 550 mAh 2S 75C</x:v>
      </x:c>
      <x:c r="C36" s="10" t="str">
        <x:v>Pouch pack</x:v>
      </x:c>
      <x:c r="D36" s="10" t="str">
        <x:v>~29.5 estimated</x:v>
      </x:c>
      <x:c r="E36" s="10" t="str">
        <x:v>Verify</x:v>
      </x:c>
      <x:c r="F36" s="10" t="str">
        <x:v>2S 7.6 V</x:v>
      </x:c>
      <x:c r="G36" s="10" t="str">
        <x:v>75C</x:v>
      </x:c>
      <x:c r="H36" s="10" t="str">
        <x:v>Attractive middle ground; weight must be verified before selection</x:v>
      </x:c>
      <x:c r="I36" s="10" t="str">
        <x:v>Verify</x:v>
      </x:c>
      <x:c r="J36" s="10" t="str">
        <x:v>Retailer/estimate</x:v>
      </x:c>
      <x:c r="K36" s="10" t="str">
        <x:v>High-priority research candidate</x:v>
      </x:c>
      <x:c r="L36" s="10" t="str">
        <x:v>https://www.rotorama.com/product/betafpv-lava-550mah-2s-75c-2ks</x:v>
      </x:c>
    </x:row>
    <x:row r="37">
      <x:c r="A37" s="10" t="str">
        <x:v>Vision</x:v>
      </x:c>
      <x:c r="B37" s="10" t="str">
        <x:v>OpenMV Cam RT1062</x:v>
      </x:c>
      <x:c r="C37" s="10" t="str">
        <x:v>Vision processor + camera</x:v>
      </x:c>
      <x:c r="D37" s="10" t="str">
        <x:v>15-20 estimated</x:v>
      </x:c>
      <x:c r="E37" s="10" t="str">
        <x:v>Compact</x:v>
      </x:c>
      <x:c r="F37" s="10" t="str">
        <x:v>5 V input</x:v>
      </x:c>
      <x:c r="G37" s="10" t="str">
        <x:v>600 MHz Cortex-M7; OV5640 5MP; Wi-Fi/BLE</x:v>
      </x:c>
      <x:c r="H37" s="10" t="str">
        <x:v>Strong embedded vision; estimated mass and high cost need verification</x:v>
      </x:c>
      <x:c r="I37" s="10" t="str">
        <x:v>~$150</x:v>
      </x:c>
      <x:c r="J37" s="10" t="str">
        <x:v>Datasheet + estimate</x:v>
      </x:c>
      <x:c r="K37" s="10" t="str">
        <x:v>High-capability candidate</x:v>
      </x:c>
      <x:c r="L37" s="10" t="str">
        <x:v>https://openmv.io/products/openmv-cam-rt</x:v>
      </x:c>
    </x:row>
    <x:row r="38">
      <x:c r="A38" s="10" t="str">
        <x:v>Vision</x:v>
      </x:c>
      <x:c r="B38" s="10" t="str">
        <x:v>OpenMV Cam H7 Plus</x:v>
      </x:c>
      <x:c r="C38" s="10" t="str">
        <x:v>Vision processor + camera</x:v>
      </x:c>
      <x:c r="D38" s="10" t="str">
        <x:v>17</x:v>
      </x:c>
      <x:c r="E38" s="10" t="str">
        <x:v>45 x 36 x 29</x:v>
      </x:c>
      <x:c r="F38" s="10" t="str">
        <x:v>3.3 V active</x:v>
      </x:c>
      <x:c r="G38" s="10" t="str">
        <x:v>STM32H743; OV5640; 25-50 fps QVGA; 230-240 mA</x:v>
      </x:c>
      <x:c r="H38" s="10" t="str">
        <x:v>Documented mass; availability and packaging are concerns</x:v>
      </x:c>
      <x:c r="I38" s="10" t="str">
        <x:v>$130</x:v>
      </x:c>
      <x:c r="J38" s="10" t="str">
        <x:v>Datasheet</x:v>
      </x:c>
      <x:c r="K38" s="10" t="str">
        <x:v>Benchmark / alternative</x:v>
      </x:c>
      <x:c r="L38" s="10" t="str">
        <x:v>https://openmv.io/collections/cams/products/openmv-cam-h7-plus</x:v>
      </x:c>
    </x:row>
    <x:row r="39">
      <x:c r="A39" s="10" t="str">
        <x:v>Vision</x:v>
      </x:c>
      <x:c r="B39" s="10" t="str">
        <x:v>Seeed XIAO ESP32S3 Sense</x:v>
      </x:c>
      <x:c r="C39" s="10" t="str">
        <x:v>Vision processor + camera</x:v>
      </x:c>
      <x:c r="D39" s="10" t="str">
        <x:v>Verify</x:v>
      </x:c>
      <x:c r="E39" s="10" t="str">
        <x:v>Very compact</x:v>
      </x:c>
      <x:c r="F39" s="10" t="str">
        <x:v>5 V/3.3 V</x:v>
      </x:c>
      <x:c r="G39" s="10" t="str">
        <x:v>ESP32-S3 camera board</x:v>
      </x:c>
      <x:c r="H39" s="10" t="str">
        <x:v>Low-mass potential; marker performance/latency must be tested</x:v>
      </x:c>
      <x:c r="I39" s="10" t="str">
        <x:v>Verify</x:v>
      </x:c>
      <x:c r="J39" s="10" t="str">
        <x:v>Documentation</x:v>
      </x:c>
      <x:c r="K39" s="10" t="str">
        <x:v>Recommended low-cost prototype</x:v>
      </x:c>
      <x:c r="L39" s="10" t="str">
        <x:v>https://wiki.seeedstudio.com/xiao_esp32s3_camera_usage/</x:v>
      </x:c>
    </x:row>
    <x:row r="40">
      <x:c r="A40" s="10" t="str">
        <x:v>Vision</x:v>
      </x:c>
      <x:c r="B40" s="10" t="str">
        <x:v>Espressif ESP32-S3-EYE</x:v>
      </x:c>
      <x:c r="C40" s="10" t="str">
        <x:v>Vision processor + camera</x:v>
      </x:c>
      <x:c r="D40" s="10" t="str">
        <x:v>Verify</x:v>
      </x:c>
      <x:c r="E40" s="10" t="str">
        <x:v>Compact module</x:v>
      </x:c>
      <x:c r="F40" s="10" t="str">
        <x:v>5 V</x:v>
      </x:c>
      <x:c r="G40" s="10" t="str">
        <x:v>2MP camera; 8 MB PSRAM/flash; accelerometer</x:v>
      </x:c>
      <x:c r="H40" s="10" t="str">
        <x:v>Good development board; packaging mass must be measured</x:v>
      </x:c>
      <x:c r="I40" s="10" t="str">
        <x:v>Verify</x:v>
      </x:c>
      <x:c r="J40" s="10" t="str">
        <x:v>Documentation</x:v>
      </x:c>
      <x:c r="K40" s="10" t="str">
        <x:v>Prototype candidate</x:v>
      </x:c>
      <x:c r="L40" s="10" t="str">
        <x:v>https://documentation.espressif.com/esp-who/master/docs/en/get-started/ESP32-S3-EYE_Getting_Started_Guide.md</x:v>
      </x:c>
    </x:row>
    <x:row r="41">
      <x:c r="A41" s="10" t="str">
        <x:v>Vision</x:v>
      </x:c>
      <x:c r="B41" s="10" t="str">
        <x:v>Raspberry Pi Zero 2 W</x:v>
      </x:c>
      <x:c r="C41" s="10" t="str">
        <x:v>Companion computer</x:v>
      </x:c>
      <x:c r="D41" s="10" t="str">
        <x:v>12 board only</x:v>
      </x:c>
      <x:c r="E41" s="10" t="str">
        <x:v>65 x 30</x:v>
      </x:c>
      <x:c r="F41" s="10" t="str">
        <x:v>5 V</x:v>
      </x:c>
      <x:c r="G41" s="10" t="str">
        <x:v>Quad Cortex-A53 1 GHz; 512 MB; CSI; Wi-Fi/BLE</x:v>
      </x:c>
      <x:c r="H41" s="10" t="str">
        <x:v>Powerful but peripherals/camera/power add substantial mass and current</x:v>
      </x:c>
      <x:c r="I41" s="10" t="str">
        <x:v>$15 board</x:v>
      </x:c>
      <x:c r="J41" s="10" t="str">
        <x:v>Datasheet</x:v>
      </x:c>
      <x:c r="K41" s="10" t="str">
        <x:v>Deferred high-compute option</x:v>
      </x:c>
      <x:c r="L41" s="10" t="str">
        <x:v>https://www.raspberrypi.com/products/raspberry-pi-zero-2-w/</x:v>
      </x:c>
    </x:row>
    <x:row r="42">
      <x:c r="A42" s="10" t="str">
        <x:v>Positioning</x:v>
      </x:c>
      <x:c r="B42" s="10" t="str">
        <x:v>Bitcraze Flow Deck v2</x:v>
      </x:c>
      <x:c r="C42" s="10" t="str">
        <x:v>Optical flow + ToF</x:v>
      </x:c>
      <x:c r="D42" s="10" t="str">
        <x:v>1.6</x:v>
      </x:c>
      <x:c r="E42" s="10" t="str">
        <x:v>21 x 28 x 4</x:v>
      </x:c>
      <x:c r="F42" s="10" t="str">
        <x:v>Platform dependent</x:v>
      </x:c>
      <x:c r="G42" s="10" t="str">
        <x:v>PMW3901 + VL53L1X; ToF up to 4 m</x:v>
      </x:c>
      <x:c r="H42" s="10" t="str">
        <x:v>Excellent indoor position aid if integration is feasible</x:v>
      </x:c>
      <x:c r="I42" s="10" t="str">
        <x:v>Verify</x:v>
      </x:c>
      <x:c r="J42" s="10" t="str">
        <x:v>Datasheet</x:v>
      </x:c>
      <x:c r="K42" s="10" t="str">
        <x:v>Strong sensor candidate</x:v>
      </x:c>
      <x:c r="L42" s="10" t="str">
        <x:v>https://www.bitcraze.io/products/flow-deck-v2/</x:v>
      </x:c>
    </x:row>
    <x:row r="43">
      <x:c r="A43" s="10" t="str">
        <x:v>Receiver</x:v>
      </x:c>
      <x:c r="B43" s="10" t="str">
        <x:v>BETAFPV ELRS Lite</x:v>
      </x:c>
      <x:c r="C43" s="10" t="str">
        <x:v>ELRS receiver</x:v>
      </x:c>
      <x:c r="D43" s="10" t="str">
        <x:v>0.46-0.47</x:v>
      </x:c>
      <x:c r="E43" s="10" t="str">
        <x:v>11 x 10 x 3</x:v>
      </x:c>
      <x:c r="F43" s="10" t="str">
        <x:v>5 V</x:v>
      </x:c>
      <x:c r="G43" s="10" t="str">
        <x:v>Integrated ceramic antenna</x:v>
      </x:c>
      <x:c r="H43" s="10" t="str">
        <x:v>Lowest mass manual override link</x:v>
      </x:c>
      <x:c r="I43" s="10" t="str">
        <x:v>$8.99</x:v>
      </x:c>
      <x:c r="J43" s="10" t="str">
        <x:v>Datasheet</x:v>
      </x:c>
      <x:c r="K43" s="10" t="str">
        <x:v>Recommended baseline</x:v>
      </x:c>
      <x:c r="L43" s="10" t="str">
        <x:v>https://betafpv.com/products/elrs-lite-receiver</x:v>
      </x:c>
    </x:row>
    <x:row r="44">
      <x:c r="A44" s="10" t="str">
        <x:v>Receiver</x:v>
      </x:c>
      <x:c r="B44" s="10" t="str">
        <x:v>RadioMaster RP1 V2</x:v>
      </x:c>
      <x:c r="C44" s="10" t="str">
        <x:v>ELRS receiver</x:v>
      </x:c>
      <x:c r="D44" s="10" t="str">
        <x:v>2.2 incl. antenna</x:v>
      </x:c>
      <x:c r="E44" s="10" t="str">
        <x:v>13 x 11 x 3</x:v>
      </x:c>
      <x:c r="F44" s="10" t="str">
        <x:v>5 V</x:v>
      </x:c>
      <x:c r="G44" s="10" t="str">
        <x:v>UFL / T antenna</x:v>
      </x:c>
      <x:c r="H44" s="10" t="str">
        <x:v>More robust antenna arrangement at mass penalty</x:v>
      </x:c>
      <x:c r="I44" s="10" t="str">
        <x:v>$18.99</x:v>
      </x:c>
      <x:c r="J44" s="10" t="str">
        <x:v>Datasheet</x:v>
      </x:c>
      <x:c r="K44" s="10" t="str">
        <x:v>Strong alternative</x:v>
      </x:c>
      <x:c r="L44" s="10" t="str">
        <x:v>https://www.radiomasterrc.com/products/rp1-expresslrs-2-4ghz-nano-receiver</x:v>
      </x:c>
    </x:row>
    <x:row r="45">
      <x:c r="A45" s="10" t="str">
        <x:v>Receiver</x:v>
      </x:c>
      <x:c r="B45" s="10" t="str">
        <x:v>RadioMaster XR1</x:v>
      </x:c>
      <x:c r="C45" s="10" t="str">
        <x:v>ELRS receiver</x:v>
      </x:c>
      <x:c r="D45" s="10" t="str">
        <x:v>1.0 excl. antenna</x:v>
      </x:c>
      <x:c r="E45" s="10" t="str">
        <x:v>20 x 13 x 3</x:v>
      </x:c>
      <x:c r="F45" s="10" t="str">
        <x:v>5 V</x:v>
      </x:c>
      <x:c r="G45" s="10" t="str">
        <x:v>100 mW telemetry</x:v>
      </x:c>
      <x:c r="H45" s="10" t="str">
        <x:v>Useful telemetry capability; larger than Lite receiver</x:v>
      </x:c>
      <x:c r="I45" s="10" t="str">
        <x:v>$11.99</x:v>
      </x:c>
      <x:c r="J45" s="10" t="str">
        <x:v>Datasheet</x:v>
      </x:c>
      <x:c r="K45" s="10" t="str">
        <x:v>Alternative</x:v>
      </x:c>
      <x:c r="L45" s="10" t="str">
        <x:v>https://radiomasterrc.com/products/xr1-nano-multi-frequency-expresslrs-receiver</x:v>
      </x:c>
    </x:row>
  </x:sheetData>
  <x:mergeCells>
    <x:mergeCell ref="A1:L1"/>
    <x:mergeCell ref="A2:H2"/>
  </x:mergeCells>
  <x:pageMargins left="0.7" right="0.7" top="0.75" bottom="0.75" header="0.3" footer="0.3"/>
  <x:tableParts count="1">
    <x:tablePart xmlns:r="http://schemas.openxmlformats.org/officeDocument/2006/relationships" r:id="Ra8d5d45f979d49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17.780000686645508" hidden="0" customWidth="1"/>
    <x:col min="4" max="4" width="16.670000076293945" hidden="0" customWidth="1"/>
    <x:col min="5" max="5" width="18.889999389648438" hidden="0" customWidth="1"/>
    <x:col min="6" max="6" width="13.329999923706055" hidden="0" customWidth="1"/>
    <x:col min="7" max="7" width="24.440000534057617" hidden="0" customWidth="1"/>
    <x:col min="8" max="8" width="26.670000076293945" hidden="0" customWidth="1"/>
    <x:col min="9" max="9" width="35.560001373291016" hidden="0" customWidth="1"/>
  </x:cols>
  <x:sheetData>
    <x:row r="1" ht="32" customHeight="1">
      <x:c r="A1" s="2" t="str">
        <x:v>Comparable Small-Drone Benchmarks</x:v>
      </x:c>
      <x:c r="B1" s="2" t="str">
        <x:v>Comparable Small-Drone Benchmarks</x:v>
      </x:c>
      <x:c r="C1" s="2" t="str">
        <x:v>Comparable Small-Drone Benchmarks</x:v>
      </x:c>
      <x:c r="D1" s="2" t="str">
        <x:v>Comparable Small-Drone Benchmarks</x:v>
      </x:c>
      <x:c r="E1" s="2" t="str">
        <x:v>Comparable Small-Drone Benchmarks</x:v>
      </x:c>
      <x:c r="F1" s="2" t="str">
        <x:v>Comparable Small-Drone Benchmarks</x:v>
      </x:c>
      <x:c r="G1" s="2" t="str">
        <x:v>Comparable Small-Drone Benchmarks</x:v>
      </x:c>
      <x:c r="H1" s="2" t="str">
        <x:v>Comparable Small-Drone Benchmarks</x:v>
      </x:c>
      <x:c r="I1" s="2" t="str">
        <x:v>Comparable Small-Drone Benchmarks</x:v>
      </x:c>
    </x:row>
    <x:row r="2">
      <x:c r="A2" s="3" t="str">
        <x:v>Observed combinations ground the estimated propulsion cases; they are not direct proof for this custom vehicle.</x:v>
      </x:c>
      <x:c r="B2" s="3" t="str">
        <x:v>Observed combinations ground the estimated propulsion cases; they are not direct proof for this custom vehicle.</x:v>
      </x:c>
      <x:c r="C2" s="3" t="str">
        <x:v>Observed combinations ground the estimated propulsion cases; they are not direct proof for this custom vehicle.</x:v>
      </x:c>
      <x:c r="D2" s="3" t="str">
        <x:v>Observed combinations ground the estimated propulsion cases; they are not direct proof for this custom vehicle.</x:v>
      </x:c>
      <x:c r="E2" s="3" t="str">
        <x:v>Observed combinations ground the estimated propulsion cases; they are not direct proof for this custom vehicle.</x:v>
      </x:c>
      <x:c r="F2" s="3" t="str">
        <x:v>Observed combinations ground the estimated propulsion cases; they are not direct proof for this custom vehicle.</x:v>
      </x:c>
      <x:c r="G2" s="3" t="str">
        <x:v>Observed combinations ground the estimated propulsion cases; they are not direct proof for this custom vehicle.</x:v>
      </x:c>
      <x:c r="H2" s="3" t="str">
        <x:v>Observed combinations ground the estimated propulsion cases; they are not direct proof for this custom vehicle.</x:v>
      </x:c>
    </x:row>
    <x:row r="4" ht="34" customHeight="1">
      <x:c r="A4" s="7" t="str">
        <x:v>Platform</x:v>
      </x:c>
      <x:c r="B4" s="7" t="str">
        <x:v>Flying mass</x:v>
      </x:c>
      <x:c r="C4" s="7" t="str">
        <x:v>Motor</x:v>
      </x:c>
      <x:c r="D4" s="7" t="str">
        <x:v>Propeller</x:v>
      </x:c>
      <x:c r="E4" s="7" t="str">
        <x:v>Battery</x:v>
      </x:c>
      <x:c r="F4" s="7" t="str">
        <x:v>Reported flight time</x:v>
      </x:c>
      <x:c r="G4" s="7" t="str">
        <x:v>Relevant performance</x:v>
      </x:c>
      <x:c r="H4" s="7" t="str">
        <x:v>Use in study</x:v>
      </x:c>
      <x:c r="I4" s="7" t="str">
        <x:v>Source URL</x:v>
      </x:c>
    </x:row>
    <x:row r="5">
      <x:c r="A5" s="10" t="str">
        <x:v>Crazyflie 2.1 Brushless</x:v>
      </x:c>
      <x:c r="B5" s="10" t="str">
        <x:v>34 g with legs; 37 g guards</x:v>
      </x:c>
      <x:c r="C5" s="10" t="str">
        <x:v>08028 10000KV</x:v>
      </x:c>
      <x:c r="D5" s="10" t="str">
        <x:v>55 mm optimized</x:v>
      </x:c>
      <x:c r="E5" s="10" t="str">
        <x:v>1S 350 mAh, 9.1 g</x:v>
      </x:c>
      <x:c r="F5" s="10" t="str">
        <x:v>~10 min</x:v>
      </x:c>
      <x:c r="G5" s="10" t="str">
        <x:v>Up to 30 g/motor; 40 g payload</x:v>
      </x:c>
      <x:c r="H5" s="10" t="str">
        <x:v>Research ecosystem and low-mass benchmark</x:v>
      </x:c>
      <x:c r="I5" s="10" t="str">
        <x:v>https://www.bitcraze.io/products/crazyflie-2-1-brushless/</x:v>
      </x:c>
    </x:row>
    <x:row r="6">
      <x:c r="A6" s="10" t="str">
        <x:v>Happymodel Bassline 2S</x:v>
      </x:c>
      <x:c r="B6" s="10" t="str">
        <x:v>Verify</x:v>
      </x:c>
      <x:c r="C6" s="10" t="str">
        <x:v>EX1103 11000KV</x:v>
      </x:c>
      <x:c r="D6" s="10" t="str">
        <x:v>2023 tri-blade</x:v>
      </x:c>
      <x:c r="E6" s="10" t="str">
        <x:v>2S</x:v>
      </x:c>
      <x:c r="F6" s="10" t="str">
        <x:v>Verify</x:v>
      </x:c>
      <x:c r="G6" s="10" t="str">
        <x:v>Official motor curve reaches 121.9 g/motor</x:v>
      </x:c>
      <x:c r="H6" s="10" t="str">
        <x:v>Primary propulsion-performance analog</x:v>
      </x:c>
      <x:c r="I6" s="10" t="str">
        <x:v>https://www.happymodel.cn/index.php/2023/03/21/bassline-digital-hd-2s-toothpick-fpv-drone-built-in-walksnail-or-hdzero-vtx/</x:v>
      </x:c>
    </x:row>
    <x:row r="7">
      <x:c r="A7" s="10" t="str">
        <x:v>BETAFPV Meteor85 2S</x:v>
      </x:c>
      <x:c r="B7" s="10" t="str">
        <x:v>Verify</x:v>
      </x:c>
      <x:c r="C7" s="10" t="str">
        <x:v>1103 11000KV</x:v>
      </x:c>
      <x:c r="D7" s="10" t="str">
        <x:v>Gemfan 2015 2-blade</x:v>
      </x:c>
      <x:c r="E7" s="10" t="str">
        <x:v>2S 300 mAh</x:v>
      </x:c>
      <x:c r="F7" s="10" t="str">
        <x:v>~3 min</x:v>
      </x:c>
      <x:c r="G7" s="10" t="str">
        <x:v>Protected 2S whoop</x:v>
      </x:c>
      <x:c r="H7" s="10" t="str">
        <x:v>Low-mass removable-pack analog</x:v>
      </x:c>
      <x:c r="I7" s="10" t="str">
        <x:v>https://betafpv.com/products/beta85-pro2-whoop-quadcopter-2s</x:v>
      </x:c>
    </x:row>
    <x:row r="8">
      <x:c r="A8" s="10" t="str">
        <x:v>BETAFPV Aquila20</x:v>
      </x:c>
      <x:c r="B8" s="10" t="str">
        <x:v>122-127 g takeoff</x:v>
      </x:c>
      <x:c r="C8" s="10" t="str">
        <x:v>1103 10500KV</x:v>
      </x:c>
      <x:c r="D8" s="10" t="str">
        <x:v>Gemfan 2218</x:v>
      </x:c>
      <x:c r="E8" s="10" t="str">
        <x:v>2S 1100 mAh, 54.5 g</x:v>
      </x:c>
      <x:c r="F8" s="10" t="str">
        <x:v>~10 min</x:v>
      </x:c>
      <x:c r="G8" s="10" t="str">
        <x:v>Large battery at modest mass</x:v>
      </x:c>
      <x:c r="H8" s="10" t="str">
        <x:v>Endurance analog; slower protected platform</x:v>
      </x:c>
      <x:c r="I8" s="10" t="str">
        <x:v>https://betafpv.com/collections/all-drone/products/aquila20-brushless-whoop-quadcopter</x:v>
      </x:c>
    </x:row>
    <x:row r="9">
      <x:c r="A9" s="10" t="str">
        <x:v>BETAFPV Pavo20 Pro II</x:v>
      </x:c>
      <x:c r="B9" s="10" t="str">
        <x:v>65.2 g PNP</x:v>
      </x:c>
      <x:c r="C9" s="10" t="str">
        <x:v>1104 7200KV</x:v>
      </x:c>
      <x:c r="D9" s="10" t="str">
        <x:v>Gemfan 2218</x:v>
      </x:c>
      <x:c r="E9" s="10" t="str">
        <x:v>3S 550-class</x:v>
      </x:c>
      <x:c r="F9" s="10" t="str">
        <x:v>~6.5 min</x:v>
      </x:c>
      <x:c r="G9" s="10" t="str">
        <x:v>Higher-power 3S protected platform</x:v>
      </x:c>
      <x:c r="H9" s="10" t="str">
        <x:v>High-authority alternative analog</x:v>
      </x:c>
      <x:c r="I9" s="10" t="str">
        <x:v>https://betafpv.com/collections/pavo-whoops/products/pavo20-pro-ii-brushless-whoop-quadcopter</x:v>
      </x:c>
    </x:row>
    <x:row r="10">
      <x:c r="A10" s="10" t="str">
        <x:v>Happymodel Mobula8 O3</x:v>
      </x:c>
      <x:c r="B10" s="10" t="str">
        <x:v>82.5 g O3 version</x:v>
      </x:c>
      <x:c r="C10" s="10" t="str">
        <x:v>EX1103 11000KV</x:v>
      </x:c>
      <x:c r="D10" s="10" t="str">
        <x:v>2-inch tri-blade</x:v>
      </x:c>
      <x:c r="E10" s="10" t="str">
        <x:v>2S</x:v>
      </x:c>
      <x:c r="F10" s="10" t="str">
        <x:v>Verify</x:v>
      </x:c>
      <x:c r="G10" s="10" t="str">
        <x:v>Protected 2S digital platform</x:v>
      </x:c>
      <x:c r="H10" s="10" t="str">
        <x:v>Payload/mass analog</x:v>
      </x:c>
      <x:c r="I10" s="10" t="str">
        <x:v>https://www.happymodel.cn/index.php/2023/08/03/happymodel-mobula8-o3-and-o3-lite-tbs-version/</x:v>
      </x:c>
    </x:row>
    <x:row r="11">
      <x:c r="A11" s="10" t="str">
        <x:v>BETAFPV Meteor85 (newer)</x:v>
      </x:c>
      <x:c r="B11" s="10" t="str">
        <x:v>Verify</x:v>
      </x:c>
      <x:c r="C11" s="10" t="str">
        <x:v>1103 11000KV</x:v>
      </x:c>
      <x:c r="D11" s="10" t="str">
        <x:v>Gemfan 2015</x:v>
      </x:c>
      <x:c r="E11" s="10" t="str">
        <x:v>2S</x:v>
      </x:c>
      <x:c r="F11" s="10" t="str">
        <x:v>Verify</x:v>
      </x:c>
      <x:c r="G11" s="10" t="str">
        <x:v>Current protected 2S reference</x:v>
      </x:c>
      <x:c r="H11" s="10" t="str">
        <x:v>Confirms common motor/prop pairing</x:v>
      </x:c>
      <x:c r="I11" s="10" t="str">
        <x:v>https://betafpv.com/collections/best-sellers/products/meteor85-brushless-whoop-quadcopter-2022</x:v>
      </x:c>
    </x:row>
  </x:sheetData>
  <x:mergeCells>
    <x:mergeCell ref="A1:I1"/>
    <x:mergeCell ref="A2:H2"/>
  </x:mergeCells>
  <x:pageMargins left="0.7" right="0.7" top="0.75" bottom="0.75" header="0.3" footer="0.3"/>
  <x:tableParts count="1">
    <x:tablePart xmlns:r="http://schemas.openxmlformats.org/officeDocument/2006/relationships" r:id="R43ed146e36b447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6.670000076293945" hidden="0" customWidth="1"/>
    <x:col min="3" max="3" width="15.5600004196167" hidden="0" customWidth="1"/>
    <x:col min="4" max="4" width="14.4399995803833" hidden="0" customWidth="1"/>
    <x:col min="5" max="5" width="14.4399995803833" hidden="0" customWidth="1"/>
    <x:col min="6" max="6" width="20" hidden="0" customWidth="1"/>
    <x:col min="7" max="7" width="17.780000686645508" hidden="0" customWidth="1"/>
    <x:col min="8" max="8" width="28.889999389648438" hidden="0" customWidth="1"/>
    <x:col min="9" max="9" width="20" hidden="0" customWidth="1"/>
  </x:cols>
  <x:sheetData>
    <x:row r="1" ht="32" customHeight="1">
      <x:c r="A1" s="2" t="str">
        <x:v>Frame-Integrated Battery Architecture Study</x:v>
      </x:c>
      <x:c r="B1" s="2" t="str">
        <x:v>Frame-Integrated Battery Architecture Study</x:v>
      </x:c>
      <x:c r="C1" s="2" t="str">
        <x:v>Frame-Integrated Battery Architecture Study</x:v>
      </x:c>
      <x:c r="D1" s="2" t="str">
        <x:v>Frame-Integrated Battery Architecture Study</x:v>
      </x:c>
      <x:c r="E1" s="2" t="str">
        <x:v>Frame-Integrated Battery Architecture Study</x:v>
      </x:c>
      <x:c r="F1" s="2" t="str">
        <x:v>Frame-Integrated Battery Architecture Study</x:v>
      </x:c>
      <x:c r="G1" s="2" t="str">
        <x:v>Frame-Integrated Battery Architecture Study</x:v>
      </x:c>
      <x:c r="H1" s="2" t="str">
        <x:v>Frame-Integrated Battery Architecture Study</x:v>
      </x:c>
      <x:c r="I1" s="2" t="str">
        <x:v>Frame-Integrated Battery Architecture Study</x:v>
      </x:c>
    </x:row>
    <x:row r="2">
      <x:c r="A2" s="3" t="str">
        <x:v>Integration penalties are planning estimates and must be replaced by CAD, cell-abuse, thermal, and serviceability evidence.</x:v>
      </x:c>
      <x:c r="B2" s="3" t="str">
        <x:v>Integration penalties are planning estimates and must be replaced by CAD, cell-abuse, thermal, and serviceability evidence.</x:v>
      </x:c>
      <x:c r="C2" s="3" t="str">
        <x:v>Integration penalties are planning estimates and must be replaced by CAD, cell-abuse, thermal, and serviceability evidence.</x:v>
      </x:c>
      <x:c r="D2" s="3" t="str">
        <x:v>Integration penalties are planning estimates and must be replaced by CAD, cell-abuse, thermal, and serviceability evidence.</x:v>
      </x:c>
      <x:c r="E2" s="3" t="str">
        <x:v>Integration penalties are planning estimates and must be replaced by CAD, cell-abuse, thermal, and serviceability evidence.</x:v>
      </x:c>
      <x:c r="F2" s="3" t="str">
        <x:v>Integration penalties are planning estimates and must be replaced by CAD, cell-abuse, thermal, and serviceability evidence.</x:v>
      </x:c>
      <x:c r="G2" s="3" t="str">
        <x:v>Integration penalties are planning estimates and must be replaced by CAD, cell-abuse, thermal, and serviceability evidence.</x:v>
      </x:c>
      <x:c r="H2" s="3" t="str">
        <x:v>Integration penalties are planning estimates and must be replaced by CAD, cell-abuse, thermal, and serviceability evidence.</x:v>
      </x:c>
    </x:row>
    <x:row r="4" ht="34" customHeight="1">
      <x:c r="A4" s="7" t="str">
        <x:v>Architecture</x:v>
      </x:c>
      <x:c r="B4" s="7" t="str">
        <x:v>Net integration penalty (g)</x:v>
      </x:c>
      <x:c r="C4" s="7" t="str">
        <x:v>Usable energy fraction</x:v>
      </x:c>
      <x:c r="D4" s="7" t="str">
        <x:v>Design complexity</x:v>
      </x:c>
      <x:c r="E4" s="7" t="str">
        <x:v>Serviceability</x:v>
      </x:c>
      <x:c r="F4" s="7" t="str">
        <x:v>Thermal behavior</x:v>
      </x:c>
      <x:c r="G4" s="7" t="str">
        <x:v>Impact/fire risk</x:v>
      </x:c>
      <x:c r="H4" s="7" t="str">
        <x:v>Recovery/inertia effect</x:v>
      </x:c>
      <x:c r="I4" s="7" t="str">
        <x:v>Recommendation</x:v>
      </x:c>
    </x:row>
    <x:row r="5">
      <x:c r="A5" s="10" t="str">
        <x:v>Removable central pouch</x:v>
      </x:c>
      <x:c r="B5" s="11" t="str">
        <x:v>0</x:v>
      </x:c>
      <x:c r="C5" s="11" t="str">
        <x:v>0.80</x:v>
      </x:c>
      <x:c r="D5" s="10" t="str">
        <x:v>Low</x:v>
      </x:c>
      <x:c r="E5" s="10" t="str">
        <x:v>Excellent</x:v>
      </x:c>
      <x:c r="F5" s="10" t="str">
        <x:v>Good</x:v>
      </x:c>
      <x:c r="G5" s="10" t="str">
        <x:v>Low</x:v>
      </x:c>
      <x:c r="H5" s="10" t="str">
        <x:v>Minimum inertia if centered; easiest recovery baseline</x:v>
      </x:c>
      <x:c r="I5" s="10" t="str">
        <x:v>Recommended V1</x:v>
      </x:c>
    </x:row>
    <x:row r="6">
      <x:c r="A6" s="10" t="str">
        <x:v>Semi-integrated protected central bay</x:v>
      </x:c>
      <x:c r="B6" s="11" t="str">
        <x:v>4</x:v>
      </x:c>
      <x:c r="C6" s="11" t="str">
        <x:v>0.78</x:v>
      </x:c>
      <x:c r="D6" s="10" t="str">
        <x:v>Medium</x:v>
      </x:c>
      <x:c r="E6" s="10" t="str">
        <x:v>Good</x:v>
      </x:c>
      <x:c r="F6" s="10" t="str">
        <x:v>Good with venting</x:v>
      </x:c>
      <x:c r="G6" s="10" t="str">
        <x:v>Medium</x:v>
      </x:c>
      <x:c r="H6" s="10" t="str">
        <x:v>Still near CG; added enclosure mass</x:v>
      </x:c>
      <x:c r="I6" s="10" t="str">
        <x:v>Recommended later iteration</x:v>
      </x:c>
    </x:row>
    <x:row r="7">
      <x:c r="A7" s="10" t="str">
        <x:v>Split 2 x 1S cells in opposing arms, series wired</x:v>
      </x:c>
      <x:c r="B7" s="11" t="str">
        <x:v>12</x:v>
      </x:c>
      <x:c r="C7" s="11" t="str">
        <x:v>0.72</x:v>
      </x:c>
      <x:c r="D7" s="10" t="str">
        <x:v>High</x:v>
      </x:c>
      <x:c r="E7" s="10" t="str">
        <x:v>Poor</x:v>
      </x:c>
      <x:c r="F7" s="10" t="str">
        <x:v>Uneven cooling/monitoring risk</x:v>
      </x:c>
      <x:c r="G7" s="10" t="str">
        <x:v>High</x:v>
      </x:c>
      <x:c r="H7" s="10" t="str">
        <x:v>Raises roll/pitch inertia and slows attitude arrest</x:v>
      </x:c>
      <x:c r="I7" s="10" t="str">
        <x:v>Research only; not V1</x:v>
      </x:c>
    </x:row>
    <x:row r="8">
      <x:c r="A8" s="10" t="str">
        <x:v>Four distributed/structural frame cells</x:v>
      </x:c>
      <x:c r="B8" s="11" t="str">
        <x:v>18</x:v>
      </x:c>
      <x:c r="C8" s="11" t="str">
        <x:v>0.68</x:v>
      </x:c>
      <x:c r="D8" s="10" t="str">
        <x:v>Very high</x:v>
      </x:c>
      <x:c r="E8" s="10" t="str">
        <x:v>Very poor</x:v>
      </x:c>
      <x:c r="F8" s="10" t="str">
        <x:v>Highest thermal/impact complexity</x:v>
      </x:c>
      <x:c r="G8" s="10" t="str">
        <x:v>Very high</x:v>
      </x:c>
      <x:c r="H8" s="10" t="str">
        <x:v>Largest inertia penalty; uncertain load paths and cell abuse</x:v>
      </x:c>
      <x:c r="I8" s="10" t="str">
        <x:v>Deferred research concept</x:v>
      </x:c>
    </x:row>
    <x:row r="10" ht="52" customHeight="1">
      <x:c r="A10" s="14" t="str">
        <x:v>Core conclusion: embedding cells away from the CG may improve packaging but increases inertia, slows attitude arrest, complicates charging/balancing, and makes crash-damaged cells harder to isolate. Keep the V1 pack removable and centered.</x:v>
      </x:c>
      <x:c r="B10" s="14"/>
      <x:c r="C10" s="14"/>
      <x:c r="D10" s="14"/>
      <x:c r="E10" s="14"/>
      <x:c r="F10" s="14"/>
      <x:c r="G10" s="14"/>
      <x:c r="H10" s="14"/>
      <x:c r="I10" s="14"/>
    </x:row>
  </x:sheetData>
  <x:mergeCells>
    <x:mergeCell ref="A1:I1"/>
    <x:mergeCell ref="A2:H2"/>
    <x:mergeCell ref="A10:I10"/>
  </x:mergeCells>
  <x:pageMargins left="0.7" right="0.7" top="0.75" bottom="0.75" header="0.3" footer="0.3"/>
  <x:tableParts count="1">
    <x:tablePart xmlns:r="http://schemas.openxmlformats.org/officeDocument/2006/relationships" r:id="R8c686ff6717048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8.889999389648438" hidden="0" customWidth="1"/>
    <x:col min="3" max="3" width="14.4399995803833" hidden="0" customWidth="1"/>
    <x:col min="4" max="4" width="16.670000076293945" hidden="0" customWidth="1"/>
    <x:col min="5" max="5" width="24.440000534057617" hidden="0" customWidth="1"/>
    <x:col min="6" max="6" width="13.32999992370605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2.779999732971191" hidden="0" customWidth="1"/>
    <x:col min="11" max="11" width="12.220000267028809" hidden="0" customWidth="1"/>
    <x:col min="12" max="12" width="11.109999656677246" hidden="0" customWidth="1"/>
    <x:col min="13" max="13" width="8.890000343322754" hidden="0" customWidth="1"/>
    <x:col min="14" max="14" width="10" hidden="0" customWidth="1"/>
    <x:col min="15" max="15" width="10" hidden="0" customWidth="1"/>
    <x:col min="16" max="16" width="11.109999656677246" hidden="0" customWidth="1"/>
    <x:col min="17" max="17" width="11.670000076293945" hidden="0" customWidth="1"/>
    <x:col min="18" max="18" width="12.220000267028809" hidden="0" customWidth="1"/>
    <x:col min="19" max="19" width="11.670000076293945" hidden="0" customWidth="1"/>
    <x:col min="20" max="20" width="10" hidden="0" customWidth="1"/>
    <x:col min="21" max="21" width="12.220000267028809" hidden="0" customWidth="1"/>
    <x:col min="22" max="22" width="12.779999732971191" hidden="0" customWidth="1"/>
    <x:col min="23" max="23" width="13.329999923706055" hidden="0" customWidth="1"/>
    <x:col min="24" max="24" width="12.220000267028809" hidden="0" customWidth="1"/>
    <x:col min="25" max="25" width="13.329999923706055" hidden="0" customWidth="1"/>
    <x:col min="26" max="26" width="14.4399995803833" hidden="0" customWidth="1"/>
    <x:col min="27" max="27" width="27.780000686645508" hidden="0" customWidth="1"/>
  </x:cols>
  <x:sheetData>
    <x:row r="1" ht="32" customHeight="1">
      <x:c r="A1" s="2" t="str">
        <x:v>Motor–Propeller–Battery Estimate Study</x:v>
      </x:c>
      <x:c r="B1" s="2" t="str">
        <x:v>Motor–Propeller–Battery Estimate Study</x:v>
      </x:c>
      <x:c r="C1" s="2" t="str">
        <x:v>Motor–Propeller–Battery Estimate Study</x:v>
      </x:c>
      <x:c r="D1" s="2" t="str">
        <x:v>Motor–Propeller–Battery Estimate Study</x:v>
      </x:c>
      <x:c r="E1" s="2" t="str">
        <x:v>Motor–Propeller–Battery Estimate Study</x:v>
      </x:c>
      <x:c r="F1" s="2" t="str">
        <x:v>Motor–Propeller–Battery Estimate Study</x:v>
      </x:c>
      <x:c r="G1" s="2" t="str">
        <x:v>Motor–Propeller–Battery Estimate Study</x:v>
      </x:c>
      <x:c r="H1" s="2" t="str">
        <x:v>Motor–Propeller–Battery Estimate Study</x:v>
      </x:c>
      <x:c r="I1" s="2" t="str">
        <x:v>Motor–Propeller–Battery Estimate Study</x:v>
      </x:c>
      <x:c r="J1" s="2" t="str">
        <x:v>Motor–Propeller–Battery Estimate Study</x:v>
      </x:c>
      <x:c r="K1" s="2" t="str">
        <x:v>Motor–Propeller–Battery Estimate Study</x:v>
      </x:c>
      <x:c r="L1" s="2" t="str">
        <x:v>Motor–Propeller–Battery Estimate Study</x:v>
      </x:c>
      <x:c r="M1" s="2" t="str">
        <x:v>Motor–Propeller–Battery Estimate Study</x:v>
      </x:c>
      <x:c r="N1" s="2" t="str">
        <x:v>Motor–Propeller–Battery Estimate Study</x:v>
      </x:c>
      <x:c r="O1" s="2" t="str">
        <x:v>Motor–Propeller–Battery Estimate Study</x:v>
      </x:c>
      <x:c r="P1" s="2" t="str">
        <x:v>Motor–Propeller–Battery Estimate Study</x:v>
      </x:c>
      <x:c r="Q1" s="2" t="str">
        <x:v>Motor–Propeller–Battery Estimate Study</x:v>
      </x:c>
      <x:c r="R1" s="2" t="str">
        <x:v>Motor–Propeller–Battery Estimate Study</x:v>
      </x:c>
      <x:c r="S1" s="2" t="str">
        <x:v>Motor–Propeller–Battery Estimate Study</x:v>
      </x:c>
      <x:c r="T1" s="2" t="str">
        <x:v>Motor–Propeller–Battery Estimate Study</x:v>
      </x:c>
      <x:c r="U1" s="2" t="str">
        <x:v>Motor–Propeller–Battery Estimate Study</x:v>
      </x:c>
      <x:c r="V1" s="2" t="str">
        <x:v>Motor–Propeller–Battery Estimate Study</x:v>
      </x:c>
      <x:c r="W1" s="2" t="str">
        <x:v>Motor–Propeller–Battery Estimate Study</x:v>
      </x:c>
      <x:c r="X1" s="2" t="str">
        <x:v>Motor–Propeller–Battery Estimate Study</x:v>
      </x:c>
      <x:c r="Y1" s="2" t="str">
        <x:v>Motor–Propeller–Battery Estimate Study</x:v>
      </x:c>
      <x:c r="Z1" s="2" t="str">
        <x:v>Motor–Propeller–Battery Estimate Study</x:v>
      </x:c>
      <x:c r="AA1" s="2" t="str">
        <x:v>Motor–Propeller–Battery Estimate Study</x:v>
      </x:c>
    </x:row>
    <x:row r="2">
      <x:c r="A2" s="3" t="str">
        <x:v>Formula-driven planning comparison. Only EX1103/2023 values use a published motor bench curve; all estimated cases require thrust-stand verification.</x:v>
      </x:c>
      <x:c r="B2" s="3" t="str">
        <x:v>Formula-driven planning comparison. Only EX1103/2023 values use a published motor bench curve; all estimated cases require thrust-stand verification.</x:v>
      </x:c>
      <x:c r="C2" s="3" t="str">
        <x:v>Formula-driven planning comparison. Only EX1103/2023 values use a published motor bench curve; all estimated cases require thrust-stand verification.</x:v>
      </x:c>
      <x:c r="D2" s="3" t="str">
        <x:v>Formula-driven planning comparison. Only EX1103/2023 values use a published motor bench curve; all estimated cases require thrust-stand verification.</x:v>
      </x:c>
      <x:c r="E2" s="3" t="str">
        <x:v>Formula-driven planning comparison. Only EX1103/2023 values use a published motor bench curve; all estimated cases require thrust-stand verification.</x:v>
      </x:c>
      <x:c r="F2" s="3" t="str">
        <x:v>Formula-driven planning comparison. Only EX1103/2023 values use a published motor bench curve; all estimated cases require thrust-stand verification.</x:v>
      </x:c>
      <x:c r="G2" s="3" t="str">
        <x:v>Formula-driven planning comparison. Only EX1103/2023 values use a published motor bench curve; all estimated cases require thrust-stand verification.</x:v>
      </x:c>
      <x:c r="H2" s="3" t="str">
        <x:v>Formula-driven planning comparison. Only EX1103/2023 values use a published motor bench curve; all estimated cases require thrust-stand verification.</x:v>
      </x:c>
    </x:row>
    <x:row r="4" ht="34" customHeight="1">
      <x:c r="A4" s="7" t="str">
        <x:v>Scenario</x:v>
      </x:c>
      <x:c r="B4" s="7" t="str">
        <x:v>Motor</x:v>
      </x:c>
      <x:c r="C4" s="7" t="str">
        <x:v>Propeller</x:v>
      </x:c>
      <x:c r="D4" s="7" t="str">
        <x:v>Battery</x:v>
      </x:c>
      <x:c r="E4" s="7" t="str">
        <x:v>Battery architecture</x:v>
      </x:c>
      <x:c r="F4" s="7" t="str">
        <x:v>Base mass excl. motor/prop/batt (g)</x:v>
      </x:c>
      <x:c r="G4" s="7" t="str">
        <x:v>Motor mass each (g)</x:v>
      </x:c>
      <x:c r="H4" s="7" t="str">
        <x:v>Prop set mass (g)</x:v>
      </x:c>
      <x:c r="I4" s="7" t="str">
        <x:v>Battery mass (g)</x:v>
      </x:c>
      <x:c r="J4" s="7" t="str">
        <x:v>Integration penalty (g)</x:v>
      </x:c>
      <x:c r="K4" s="7" t="str">
        <x:v>Total flying mass (g)</x:v>
      </x:c>
      <x:c r="L4" s="7" t="str">
        <x:v>Capacity (mAh)</x:v>
      </x:c>
      <x:c r="M4" s="7" t="str">
        <x:v>C rating</x:v>
      </x:c>
      <x:c r="N4" s="7" t="str">
        <x:v>Nominal V</x:v>
      </x:c>
      <x:c r="O4" s="7" t="str">
        <x:v>Energy (Wh)</x:v>
      </x:c>
      <x:c r="P4" s="7" t="str">
        <x:v>Usable fraction</x:v>
      </x:c>
      <x:c r="Q4" s="7" t="str">
        <x:v>Usable energy (Wh)</x:v>
      </x:c>
      <x:c r="R4" s="7" t="str">
        <x:v>Max thrust / motor (g)</x:v>
      </x:c>
      <x:c r="S4" s="7" t="str">
        <x:v>Total max thrust (g)</x:v>
      </x:c>
      <x:c r="T4" s="7" t="str">
        <x:v>Static T/W</x:v>
      </x:c>
      <x:c r="U4" s="7" t="str">
        <x:v>Max current / motor (A)</x:v>
      </x:c>
      <x:c r="V4" s="7" t="str">
        <x:v>Max system current (A)</x:v>
      </x:c>
      <x:c r="W4" s="7" t="str">
        <x:v>Battery continuous current (A)</x:v>
      </x:c>
      <x:c r="X4" s="7" t="str">
        <x:v>Discharge check</x:v>
      </x:c>
      <x:c r="Y4" s="7" t="str">
        <x:v>Estimated hover current (A)</x:v>
      </x:c>
      <x:c r="Z4" s="7" t="str">
        <x:v>Estimated flight time (min)</x:v>
      </x:c>
      <x:c r="AA4" s="7" t="str">
        <x:v>Notes</x:v>
      </x:c>
    </x:row>
    <x:row r="5">
      <x:c r="A5" s="10" t="str">
        <x:v>Baseline documented</x:v>
      </x:c>
      <x:c r="B5" s="10" t="str">
        <x:v>EX1103 11000KV</x:v>
      </x:c>
      <x:c r="C5" s="10" t="str">
        <x:v>2023-3</x:v>
      </x:c>
      <x:c r="D5" s="10" t="str">
        <x:v>LAVA 450 2S</x:v>
      </x:c>
      <x:c r="E5" s="10" t="str">
        <x:v>Removable central pouch</x:v>
      </x:c>
      <x:c r="F5" s="11" t="n">
        <x:v>82.75</x:v>
      </x:c>
      <x:c r="G5" s="11" t="n">
        <x:v>3.8</x:v>
      </x:c>
      <x:c r="H5" s="11" t="n">
        <x:v>3.52</x:v>
      </x:c>
      <x:c r="I5" s="11" t="n">
        <x:v>26.1</x:v>
      </x:c>
      <x:c r="J5" s="11" t="n">
        <x:v>0</x:v>
      </x:c>
      <x:c r="K5" s="15" t="n">
        <x:f>F5+4*G5+H5+I5+J5</x:f>
        <x:v>127.57</x:v>
      </x:c>
      <x:c r="L5" s="16" t="n">
        <x:v>450</x:v>
      </x:c>
      <x:c r="M5" s="16" t="n">
        <x:v>75</x:v>
      </x:c>
      <x:c r="N5" s="16" t="n">
        <x:v>7.6</x:v>
      </x:c>
      <x:c r="O5" s="15" t="n">
        <x:f>L5/1000*N5</x:f>
        <x:v>3.42</x:v>
      </x:c>
      <x:c r="P5" s="16" t="n">
        <x:v>0.8</x:v>
      </x:c>
      <x:c r="Q5" s="15" t="n">
        <x:f>O5*P5</x:f>
        <x:v>2.736</x:v>
      </x:c>
      <x:c r="R5" s="16" t="n">
        <x:v>121.9</x:v>
      </x:c>
      <x:c r="S5" s="15" t="n">
        <x:f>4*R5</x:f>
        <x:v>487.6</x:v>
      </x:c>
      <x:c r="T5" s="15" t="n">
        <x:f>S5/K5</x:f>
        <x:v>3.82221525437015</x:v>
      </x:c>
      <x:c r="U5" s="16" t="n">
        <x:v>9.2</x:v>
      </x:c>
      <x:c r="V5" s="15" t="n">
        <x:f>4*U5+0.5</x:f>
        <x:v>37.3</x:v>
      </x:c>
      <x:c r="W5" s="15" t="n">
        <x:f>L5/1000*M5</x:f>
        <x:v>33.75</x:v>
      </x:c>
      <x:c r="X5" s="15" t="str">
        <x:f>IF(W5&gt;=V5,"PASS","FAIL")</x:f>
        <x:v>FAIL</x:v>
      </x:c>
      <x:c r="Y5" s="16" t="n">
        <x:v>9.5</x:v>
      </x:c>
      <x:c r="Z5" s="15" t="n">
        <x:f>60*(L5/1000)*P5/Y5</x:f>
        <x:v>2.2736842105263158</x:v>
      </x:c>
      <x:c r="AA5" s="10" t="str">
        <x:v>Official motor curve; hover current estimated from curve</x:v>
      </x:c>
    </x:row>
    <x:row r="6">
      <x:c r="A6" s="10" t="str">
        <x:v>Middle-capacity candidate</x:v>
      </x:c>
      <x:c r="B6" s="10" t="str">
        <x:v>EX1103 11000KV</x:v>
      </x:c>
      <x:c r="C6" s="10" t="str">
        <x:v>2023-3</x:v>
      </x:c>
      <x:c r="D6" s="10" t="str">
        <x:v>LAVA 550 2S</x:v>
      </x:c>
      <x:c r="E6" s="10" t="str">
        <x:v>Removable central pouch</x:v>
      </x:c>
      <x:c r="F6" s="11" t="n">
        <x:v>82.75</x:v>
      </x:c>
      <x:c r="G6" s="11" t="n">
        <x:v>3.8</x:v>
      </x:c>
      <x:c r="H6" s="11" t="n">
        <x:v>3.52</x:v>
      </x:c>
      <x:c r="I6" s="11" t="n">
        <x:v>29.5</x:v>
      </x:c>
      <x:c r="J6" s="11" t="n">
        <x:v>0</x:v>
      </x:c>
      <x:c r="K6" s="15" t="n">
        <x:f>F6+4*G6+H6+I6+J6</x:f>
        <x:v>130.97</x:v>
      </x:c>
      <x:c r="L6" s="16" t="n">
        <x:v>550</x:v>
      </x:c>
      <x:c r="M6" s="16" t="n">
        <x:v>75</x:v>
      </x:c>
      <x:c r="N6" s="16" t="n">
        <x:v>7.6</x:v>
      </x:c>
      <x:c r="O6" s="15" t="n">
        <x:f>L6/1000*N6</x:f>
        <x:v>4.18</x:v>
      </x:c>
      <x:c r="P6" s="16" t="n">
        <x:v>0.8</x:v>
      </x:c>
      <x:c r="Q6" s="15" t="n">
        <x:f>O6*P6</x:f>
        <x:v>3.344</x:v>
      </x:c>
      <x:c r="R6" s="16" t="n">
        <x:v>121.9</x:v>
      </x:c>
      <x:c r="S6" s="15" t="n">
        <x:f>4*R6</x:f>
        <x:v>487.6</x:v>
      </x:c>
      <x:c r="T6" s="15" t="n">
        <x:f>S6/K6</x:f>
        <x:v>3.722989997709399</x:v>
      </x:c>
      <x:c r="U6" s="16" t="n">
        <x:v>9.2</x:v>
      </x:c>
      <x:c r="V6" s="15" t="n">
        <x:f>4*U6+0.5</x:f>
        <x:v>37.3</x:v>
      </x:c>
      <x:c r="W6" s="15" t="n">
        <x:f>L6/1000*M6</x:f>
        <x:v>41.25</x:v>
      </x:c>
      <x:c r="X6" s="15" t="str">
        <x:f>IF(W6&gt;=V6,"PASS","FAIL")</x:f>
        <x:v>PASS</x:v>
      </x:c>
      <x:c r="Y6" s="16" t="n">
        <x:v>9.8</x:v>
      </x:c>
      <x:c r="Z6" s="15" t="n">
        <x:f>60*(L6/1000)*P6/Y6</x:f>
        <x:v>2.693877551020408</x:v>
      </x:c>
      <x:c r="AA6" s="10" t="str">
        <x:v>Battery mass estimated; verify</x:v>
      </x:c>
    </x:row>
    <x:row r="7">
      <x:c r="A7" s="10" t="str">
        <x:v>Endurance/current candidate</x:v>
      </x:c>
      <x:c r="B7" s="10" t="str">
        <x:v>EX1103 11000KV</x:v>
      </x:c>
      <x:c r="C7" s="10" t="str">
        <x:v>2023-3</x:v>
      </x:c>
      <x:c r="D7" s="10" t="str">
        <x:v>GNB 650 2S</x:v>
      </x:c>
      <x:c r="E7" s="10" t="str">
        <x:v>Removable central pouch</x:v>
      </x:c>
      <x:c r="F7" s="11" t="n">
        <x:v>82.75</x:v>
      </x:c>
      <x:c r="G7" s="11" t="n">
        <x:v>3.8</x:v>
      </x:c>
      <x:c r="H7" s="11" t="n">
        <x:v>3.52</x:v>
      </x:c>
      <x:c r="I7" s="11" t="n">
        <x:v>36</x:v>
      </x:c>
      <x:c r="J7" s="11" t="n">
        <x:v>0</x:v>
      </x:c>
      <x:c r="K7" s="15" t="n">
        <x:f>F7+4*G7+H7+I7+J7</x:f>
        <x:v>137.47</x:v>
      </x:c>
      <x:c r="L7" s="16" t="n">
        <x:v>650</x:v>
      </x:c>
      <x:c r="M7" s="16" t="n">
        <x:v>120</x:v>
      </x:c>
      <x:c r="N7" s="16" t="n">
        <x:v>7.6</x:v>
      </x:c>
      <x:c r="O7" s="15" t="n">
        <x:f>L7/1000*N7</x:f>
        <x:v>4.9399999999999995</x:v>
      </x:c>
      <x:c r="P7" s="16" t="n">
        <x:v>0.8</x:v>
      </x:c>
      <x:c r="Q7" s="15" t="n">
        <x:f>O7*P7</x:f>
        <x:v>3.952</x:v>
      </x:c>
      <x:c r="R7" s="16" t="n">
        <x:v>121.9</x:v>
      </x:c>
      <x:c r="S7" s="15" t="n">
        <x:f>4*R7</x:f>
        <x:v>487.6</x:v>
      </x:c>
      <x:c r="T7" s="15" t="n">
        <x:f>S7/K7</x:f>
        <x:v>3.5469556994253293</x:v>
      </x:c>
      <x:c r="U7" s="16" t="n">
        <x:v>9.2</x:v>
      </x:c>
      <x:c r="V7" s="15" t="n">
        <x:f>4*U7+0.5</x:f>
        <x:v>37.3</x:v>
      </x:c>
      <x:c r="W7" s="15" t="n">
        <x:f>L7/1000*M7</x:f>
        <x:v>78</x:v>
      </x:c>
      <x:c r="X7" s="15" t="str">
        <x:f>IF(W7&gt;=V7,"PASS","FAIL")</x:f>
        <x:v>PASS</x:v>
      </x:c>
      <x:c r="Y7" s="16" t="n">
        <x:v>10.2</x:v>
      </x:c>
      <x:c r="Z7" s="15" t="n">
        <x:f>60*(L7/1000)*P7/Y7</x:f>
        <x:v>3.0588235294117654</x:v>
      </x:c>
      <x:c r="AA7" s="10" t="str">
        <x:v>Heavier but strong current headroom</x:v>
      </x:c>
    </x:row>
    <x:row r="8">
      <x:c r="A8" s="10" t="str">
        <x:v>Heavy endurance</x:v>
      </x:c>
      <x:c r="B8" s="10" t="str">
        <x:v>EX1103 11000KV</x:v>
      </x:c>
      <x:c r="C8" s="10" t="str">
        <x:v>2023-3</x:v>
      </x:c>
      <x:c r="D8" s="10" t="str">
        <x:v>Tattu 650 2S</x:v>
      </x:c>
      <x:c r="E8" s="10" t="str">
        <x:v>Removable central pouch</x:v>
      </x:c>
      <x:c r="F8" s="11" t="n">
        <x:v>82.75</x:v>
      </x:c>
      <x:c r="G8" s="11" t="n">
        <x:v>3.8</x:v>
      </x:c>
      <x:c r="H8" s="11" t="n">
        <x:v>3.52</x:v>
      </x:c>
      <x:c r="I8" s="11" t="n">
        <x:v>43</x:v>
      </x:c>
      <x:c r="J8" s="11" t="n">
        <x:v>0</x:v>
      </x:c>
      <x:c r="K8" s="15" t="n">
        <x:f>F8+4*G8+H8+I8+J8</x:f>
        <x:v>144.47</x:v>
      </x:c>
      <x:c r="L8" s="16" t="n">
        <x:v>650</x:v>
      </x:c>
      <x:c r="M8" s="16" t="n">
        <x:v>75</x:v>
      </x:c>
      <x:c r="N8" s="16" t="n">
        <x:v>7.4</x:v>
      </x:c>
      <x:c r="O8" s="15" t="n">
        <x:f>L8/1000*N8</x:f>
        <x:v>4.8100000000000005</x:v>
      </x:c>
      <x:c r="P8" s="16" t="n">
        <x:v>0.8</x:v>
      </x:c>
      <x:c r="Q8" s="15" t="n">
        <x:f>O8*P8</x:f>
        <x:v>3.8480000000000008</x:v>
      </x:c>
      <x:c r="R8" s="16" t="n">
        <x:v>121.9</x:v>
      </x:c>
      <x:c r="S8" s="15" t="n">
        <x:f>4*R8</x:f>
        <x:v>487.6</x:v>
      </x:c>
      <x:c r="T8" s="15" t="n">
        <x:f>S8/K8</x:f>
        <x:v>3.3750951754689558</x:v>
      </x:c>
      <x:c r="U8" s="16" t="n">
        <x:v>9.2</x:v>
      </x:c>
      <x:c r="V8" s="15" t="n">
        <x:f>4*U8+0.5</x:f>
        <x:v>37.3</x:v>
      </x:c>
      <x:c r="W8" s="15" t="n">
        <x:f>L8/1000*M8</x:f>
        <x:v>48.75</x:v>
      </x:c>
      <x:c r="X8" s="15" t="str">
        <x:f>IF(W8&gt;=V8,"PASS","FAIL")</x:f>
        <x:v>PASS</x:v>
      </x:c>
      <x:c r="Y8" s="16" t="n">
        <x:v>10.5</x:v>
      </x:c>
      <x:c r="Z8" s="15" t="n">
        <x:f>60*(L8/1000)*P8/Y8</x:f>
        <x:v>2.9714285714285715</x:v>
      </x:c>
      <x:c r="AA8" s="10" t="str">
        <x:v>Heavy; recovery penalty</x:v>
      </x:c>
    </x:row>
    <x:row r="9">
      <x:c r="A9" s="10" t="str">
        <x:v>Central integrated bay</x:v>
      </x:c>
      <x:c r="B9" s="10" t="str">
        <x:v>EX1103 11000KV</x:v>
      </x:c>
      <x:c r="C9" s="10" t="str">
        <x:v>2023-3</x:v>
      </x:c>
      <x:c r="D9" s="10" t="str">
        <x:v>LAVA 550 2S</x:v>
      </x:c>
      <x:c r="E9" s="10" t="str">
        <x:v>Semi-integrated protected central bay</x:v>
      </x:c>
      <x:c r="F9" s="11" t="n">
        <x:v>82.75</x:v>
      </x:c>
      <x:c r="G9" s="11" t="n">
        <x:v>3.8</x:v>
      </x:c>
      <x:c r="H9" s="11" t="n">
        <x:v>3.52</x:v>
      </x:c>
      <x:c r="I9" s="11" t="n">
        <x:v>29.5</x:v>
      </x:c>
      <x:c r="J9" s="11" t="n">
        <x:v>4</x:v>
      </x:c>
      <x:c r="K9" s="15" t="n">
        <x:f>F9+4*G9+H9+I9+J9</x:f>
        <x:v>134.97</x:v>
      </x:c>
      <x:c r="L9" s="16" t="n">
        <x:v>550</x:v>
      </x:c>
      <x:c r="M9" s="16" t="n">
        <x:v>75</x:v>
      </x:c>
      <x:c r="N9" s="16" t="n">
        <x:v>7.6</x:v>
      </x:c>
      <x:c r="O9" s="15" t="n">
        <x:f>L9/1000*N9</x:f>
        <x:v>4.18</x:v>
      </x:c>
      <x:c r="P9" s="16" t="n">
        <x:v>0.78</x:v>
      </x:c>
      <x:c r="Q9" s="15" t="n">
        <x:f>O9*P9</x:f>
        <x:v>3.2603999999999997</x:v>
      </x:c>
      <x:c r="R9" s="16" t="n">
        <x:v>121.9</x:v>
      </x:c>
      <x:c r="S9" s="15" t="n">
        <x:f>4*R9</x:f>
        <x:v>487.6</x:v>
      </x:c>
      <x:c r="T9" s="15" t="n">
        <x:f>S9/K9</x:f>
        <x:v>3.6126546639994075</x:v>
      </x:c>
      <x:c r="U9" s="16" t="n">
        <x:v>9.2</x:v>
      </x:c>
      <x:c r="V9" s="15" t="n">
        <x:f>4*U9+0.5</x:f>
        <x:v>37.3</x:v>
      </x:c>
      <x:c r="W9" s="15" t="n">
        <x:f>L9/1000*M9</x:f>
        <x:v>41.25</x:v>
      </x:c>
      <x:c r="X9" s="15" t="str">
        <x:f>IF(W9&gt;=V9,"PASS","FAIL")</x:f>
        <x:v>PASS</x:v>
      </x:c>
      <x:c r="Y9" s="16" t="n">
        <x:v>10.1</x:v>
      </x:c>
      <x:c r="Z9" s="15" t="n">
        <x:f>60*(L9/1000)*P9/Y9</x:f>
        <x:v>2.548514851485149</x:v>
      </x:c>
      <x:c r="AA9" s="10" t="str">
        <x:v>Moderate integration penalty</x:v>
      </x:c>
    </x:row>
    <x:row r="10">
      <x:c r="A10" s="10" t="str">
        <x:v>Split-arm battery concept</x:v>
      </x:c>
      <x:c r="B10" s="10" t="str">
        <x:v>EX1103 11000KV</x:v>
      </x:c>
      <x:c r="C10" s="10" t="str">
        <x:v>2023-3</x:v>
      </x:c>
      <x:c r="D10" s="10" t="str">
        <x:v>2 x 1S 450 equivalent</x:v>
      </x:c>
      <x:c r="E10" s="10" t="str">
        <x:v>Split 2 x 1S cells in opposing arms, series wired</x:v>
      </x:c>
      <x:c r="F10" s="11" t="n">
        <x:v>82.75</x:v>
      </x:c>
      <x:c r="G10" s="11" t="n">
        <x:v>3.8</x:v>
      </x:c>
      <x:c r="H10" s="11" t="n">
        <x:v>3.52</x:v>
      </x:c>
      <x:c r="I10" s="11" t="n">
        <x:v>26.1</x:v>
      </x:c>
      <x:c r="J10" s="11" t="n">
        <x:v>12</x:v>
      </x:c>
      <x:c r="K10" s="15" t="n">
        <x:f>F10+4*G10+H10+I10+J10</x:f>
        <x:v>139.57</x:v>
      </x:c>
      <x:c r="L10" s="16" t="n">
        <x:v>450</x:v>
      </x:c>
      <x:c r="M10" s="16" t="n">
        <x:v>75</x:v>
      </x:c>
      <x:c r="N10" s="16" t="n">
        <x:v>7.6</x:v>
      </x:c>
      <x:c r="O10" s="15" t="n">
        <x:f>L10/1000*N10</x:f>
        <x:v>3.42</x:v>
      </x:c>
      <x:c r="P10" s="16" t="n">
        <x:v>0.72</x:v>
      </x:c>
      <x:c r="Q10" s="15" t="n">
        <x:f>O10*P10</x:f>
        <x:v>2.4623999999999997</x:v>
      </x:c>
      <x:c r="R10" s="16" t="n">
        <x:v>121.9</x:v>
      </x:c>
      <x:c r="S10" s="15" t="n">
        <x:f>4*R10</x:f>
        <x:v>487.6</x:v>
      </x:c>
      <x:c r="T10" s="15" t="n">
        <x:f>S10/K10</x:f>
        <x:v>3.493587447159132</x:v>
      </x:c>
      <x:c r="U10" s="16" t="n">
        <x:v>9.2</x:v>
      </x:c>
      <x:c r="V10" s="15" t="n">
        <x:f>4*U10+0.5</x:f>
        <x:v>37.3</x:v>
      </x:c>
      <x:c r="W10" s="15" t="n">
        <x:f>L10/1000*M10</x:f>
        <x:v>33.75</x:v>
      </x:c>
      <x:c r="X10" s="15" t="str">
        <x:f>IF(W10&gt;=V10,"PASS","FAIL")</x:f>
        <x:v>FAIL</x:v>
      </x:c>
      <x:c r="Y10" s="16" t="n">
        <x:v>10.8</x:v>
      </x:c>
      <x:c r="Z10" s="15" t="n">
        <x:f>60*(L10/1000)*P10/Y10</x:f>
        <x:v>1.7999999999999996</x:v>
      </x:c>
      <x:c r="AA10" s="10" t="str">
        <x:v>Mass/inertia/wiring penalties; research only</x:v>
      </x:c>
    </x:row>
    <x:row r="11">
      <x:c r="A11" s="10" t="str">
        <x:v>Structural battery concept</x:v>
      </x:c>
      <x:c r="B11" s="10" t="str">
        <x:v>EX1103 11000KV</x:v>
      </x:c>
      <x:c r="C11" s="10" t="str">
        <x:v>2023-3</x:v>
      </x:c>
      <x:c r="D11" s="10" t="str">
        <x:v>Custom embedded 2S 550</x:v>
      </x:c>
      <x:c r="E11" s="10" t="str">
        <x:v>Four distributed/structural frame cells</x:v>
      </x:c>
      <x:c r="F11" s="11" t="n">
        <x:v>82.75</x:v>
      </x:c>
      <x:c r="G11" s="11" t="n">
        <x:v>3.8</x:v>
      </x:c>
      <x:c r="H11" s="11" t="n">
        <x:v>3.52</x:v>
      </x:c>
      <x:c r="I11" s="11" t="n">
        <x:v>29.5</x:v>
      </x:c>
      <x:c r="J11" s="11" t="n">
        <x:v>18</x:v>
      </x:c>
      <x:c r="K11" s="15" t="n">
        <x:f>F11+4*G11+H11+I11+J11</x:f>
        <x:v>148.97</x:v>
      </x:c>
      <x:c r="L11" s="16" t="n">
        <x:v>550</x:v>
      </x:c>
      <x:c r="M11" s="16" t="n">
        <x:v>50</x:v>
      </x:c>
      <x:c r="N11" s="16" t="n">
        <x:v>7.6</x:v>
      </x:c>
      <x:c r="O11" s="15" t="n">
        <x:f>L11/1000*N11</x:f>
        <x:v>4.18</x:v>
      </x:c>
      <x:c r="P11" s="16" t="n">
        <x:v>0.68</x:v>
      </x:c>
      <x:c r="Q11" s="15" t="n">
        <x:f>O11*P11</x:f>
        <x:v>2.8424</x:v>
      </x:c>
      <x:c r="R11" s="16" t="n">
        <x:v>121.9</x:v>
      </x:c>
      <x:c r="S11" s="15" t="n">
        <x:f>4*R11</x:f>
        <x:v>487.6</x:v>
      </x:c>
      <x:c r="T11" s="15" t="n">
        <x:f>S11/K11</x:f>
        <x:v>3.2731422434047124</x:v>
      </x:c>
      <x:c r="U11" s="16" t="n">
        <x:v>9.2</x:v>
      </x:c>
      <x:c r="V11" s="15" t="n">
        <x:f>4*U11+0.5</x:f>
        <x:v>37.3</x:v>
      </x:c>
      <x:c r="W11" s="15" t="n">
        <x:f>L11/1000*M11</x:f>
        <x:v>27.500000000000004</x:v>
      </x:c>
      <x:c r="X11" s="15" t="str">
        <x:f>IF(W11&gt;=V11,"PASS","FAIL")</x:f>
        <x:v>FAIL</x:v>
      </x:c>
      <x:c r="Y11" s="16" t="n">
        <x:v>11.5</x:v>
      </x:c>
      <x:c r="Z11" s="15" t="n">
        <x:f>60*(L11/1000)*P11/Y11</x:f>
        <x:v>1.951304347826087</x:v>
      </x:c>
      <x:c r="AA11" s="10" t="str">
        <x:v>Highest uncertainty and safety risk</x:v>
      </x:c>
    </x:row>
    <x:row r="12">
      <x:c r="A12" s="10" t="str">
        <x:v>Lowest motor mass</x:v>
      </x:c>
      <x:c r="B12" s="10" t="str">
        <x:v>BETAFPV 1103 11000KV</x:v>
      </x:c>
      <x:c r="C12" s="10" t="str">
        <x:v>Gemfan 2015-2</x:v>
      </x:c>
      <x:c r="D12" s="10" t="str">
        <x:v>LAVA 450 2S</x:v>
      </x:c>
      <x:c r="E12" s="10" t="str">
        <x:v>Removable central pouch</x:v>
      </x:c>
      <x:c r="F12" s="11" t="n">
        <x:v>82.75</x:v>
      </x:c>
      <x:c r="G12" s="11" t="n">
        <x:v>3.3</x:v>
      </x:c>
      <x:c r="H12" s="11" t="n">
        <x:v>2</x:v>
      </x:c>
      <x:c r="I12" s="11" t="n">
        <x:v>26.1</x:v>
      </x:c>
      <x:c r="J12" s="11" t="n">
        <x:v>0</x:v>
      </x:c>
      <x:c r="K12" s="15" t="n">
        <x:f>F12+4*G12+H12+I12+J12</x:f>
        <x:v>124.05000000000001</x:v>
      </x:c>
      <x:c r="L12" s="16" t="n">
        <x:v>450</x:v>
      </x:c>
      <x:c r="M12" s="16" t="n">
        <x:v>75</x:v>
      </x:c>
      <x:c r="N12" s="16" t="n">
        <x:v>7.6</x:v>
      </x:c>
      <x:c r="O12" s="15" t="n">
        <x:f>L12/1000*N12</x:f>
        <x:v>3.42</x:v>
      </x:c>
      <x:c r="P12" s="16" t="n">
        <x:v>0.8</x:v>
      </x:c>
      <x:c r="Q12" s="15" t="n">
        <x:f>O12*P12</x:f>
        <x:v>2.736</x:v>
      </x:c>
      <x:c r="R12" s="16" t="n">
        <x:v>105</x:v>
      </x:c>
      <x:c r="S12" s="15" t="n">
        <x:f>4*R12</x:f>
        <x:v>420</x:v>
      </x:c>
      <x:c r="T12" s="15" t="n">
        <x:f>S12/K12</x:f>
        <x:v>3.385731559854897</x:v>
      </x:c>
      <x:c r="U12" s="16" t="n">
        <x:v>8.5</x:v>
      </x:c>
      <x:c r="V12" s="15" t="n">
        <x:f>4*U12+0.5</x:f>
        <x:v>34.5</x:v>
      </x:c>
      <x:c r="W12" s="15" t="n">
        <x:f>L12/1000*M12</x:f>
        <x:v>33.75</x:v>
      </x:c>
      <x:c r="X12" s="15" t="str">
        <x:f>IF(W12&gt;=V12,"PASS","FAIL")</x:f>
        <x:v>FAIL</x:v>
      </x:c>
      <x:c r="Y12" s="16" t="n">
        <x:v>8.8</x:v>
      </x:c>
      <x:c r="Z12" s="15" t="n">
        <x:f>60*(L12/1000)*P12/Y12</x:f>
        <x:v>2.4545454545454546</x:v>
      </x:c>
      <x:c r="AA12" s="10" t="str">
        <x:v>Thrust/current estimated from similar 1103 platform</x:v>
      </x:c>
    </x:row>
    <x:row r="13">
      <x:c r="A13" s="10" t="str">
        <x:v>1202.5 alternative</x:v>
      </x:c>
      <x:c r="B13" s="10" t="str">
        <x:v>Flywoo ROBO 1202.5 11500KV</x:v>
      </x:c>
      <x:c r="C13" s="10" t="str">
        <x:v>2023S-3</x:v>
      </x:c>
      <x:c r="D13" s="10" t="str">
        <x:v>LAVA 450 2S</x:v>
      </x:c>
      <x:c r="E13" s="10" t="str">
        <x:v>Removable central pouch</x:v>
      </x:c>
      <x:c r="F13" s="11" t="n">
        <x:v>82.75</x:v>
      </x:c>
      <x:c r="G13" s="11" t="n">
        <x:v>3.8</x:v>
      </x:c>
      <x:c r="H13" s="11" t="n">
        <x:v>2.8</x:v>
      </x:c>
      <x:c r="I13" s="11" t="n">
        <x:v>26.1</x:v>
      </x:c>
      <x:c r="J13" s="11" t="n">
        <x:v>0</x:v>
      </x:c>
      <x:c r="K13" s="15" t="n">
        <x:f>F13+4*G13+H13+I13+J13</x:f>
        <x:v>126.85</x:v>
      </x:c>
      <x:c r="L13" s="16" t="n">
        <x:v>450</x:v>
      </x:c>
      <x:c r="M13" s="16" t="n">
        <x:v>75</x:v>
      </x:c>
      <x:c r="N13" s="16" t="n">
        <x:v>7.6</x:v>
      </x:c>
      <x:c r="O13" s="15" t="n">
        <x:f>L13/1000*N13</x:f>
        <x:v>3.42</x:v>
      </x:c>
      <x:c r="P13" s="16" t="n">
        <x:v>0.8</x:v>
      </x:c>
      <x:c r="Q13" s="15" t="n">
        <x:f>O13*P13</x:f>
        <x:v>2.736</x:v>
      </x:c>
      <x:c r="R13" s="16" t="n">
        <x:v>110</x:v>
      </x:c>
      <x:c r="S13" s="15" t="n">
        <x:f>4*R13</x:f>
        <x:v>440</x:v>
      </x:c>
      <x:c r="T13" s="15" t="n">
        <x:f>S13/K13</x:f>
        <x:v>3.46866377611352</x:v>
      </x:c>
      <x:c r="U13" s="16" t="n">
        <x:v>8.8</x:v>
      </x:c>
      <x:c r="V13" s="15" t="n">
        <x:f>4*U13+0.5</x:f>
        <x:v>35.7</x:v>
      </x:c>
      <x:c r="W13" s="15" t="n">
        <x:f>L13/1000*M13</x:f>
        <x:v>33.75</x:v>
      </x:c>
      <x:c r="X13" s="15" t="str">
        <x:f>IF(W13&gt;=V13,"PASS","FAIL")</x:f>
        <x:v>FAIL</x:v>
      </x:c>
      <x:c r="Y13" s="16" t="n">
        <x:v>9.1</x:v>
      </x:c>
      <x:c r="Z13" s="15" t="n">
        <x:f>60*(L13/1000)*P13/Y13</x:f>
        <x:v>2.373626373626374</x:v>
      </x:c>
      <x:c r="AA13" s="10" t="str">
        <x:v>Estimated; bench curve required</x:v>
      </x:c>
    </x:row>
    <x:row r="14">
      <x:c r="A14" s="10" t="str">
        <x:v>Research-platform minimum</x:v>
      </x:c>
      <x:c r="B14" s="10" t="str">
        <x:v>Crazyflie 08028 10000KV</x:v>
      </x:c>
      <x:c r="C14" s="10" t="str">
        <x:v>55 mm optimized</x:v>
      </x:c>
      <x:c r="D14" s="10" t="str">
        <x:v>1S 350</x:v>
      </x:c>
      <x:c r="E14" s="10" t="str">
        <x:v>Removable central pouch</x:v>
      </x:c>
      <x:c r="F14" s="11" t="n">
        <x:v>82.75</x:v>
      </x:c>
      <x:c r="G14" s="11" t="n">
        <x:v>2.3</x:v>
      </x:c>
      <x:c r="H14" s="11" t="n">
        <x:v>1.5</x:v>
      </x:c>
      <x:c r="I14" s="11" t="n">
        <x:v>9.1</x:v>
      </x:c>
      <x:c r="J14" s="11" t="n">
        <x:v>0</x:v>
      </x:c>
      <x:c r="K14" s="15" t="n">
        <x:f>F14+4*G14+H14+I14+J14</x:f>
        <x:v>102.55</x:v>
      </x:c>
      <x:c r="L14" s="16" t="n">
        <x:v>350</x:v>
      </x:c>
      <x:c r="M14" s="16" t="n">
        <x:v>30</x:v>
      </x:c>
      <x:c r="N14" s="16" t="n">
        <x:v>3.7</x:v>
      </x:c>
      <x:c r="O14" s="15" t="n">
        <x:f>L14/1000*N14</x:f>
        <x:v>1.295</x:v>
      </x:c>
      <x:c r="P14" s="16" t="n">
        <x:v>0.8</x:v>
      </x:c>
      <x:c r="Q14" s="15" t="n">
        <x:f>O14*P14</x:f>
        <x:v>1.036</x:v>
      </x:c>
      <x:c r="R14" s="16" t="n">
        <x:v>30</x:v>
      </x:c>
      <x:c r="S14" s="15" t="n">
        <x:f>4*R14</x:f>
        <x:v>120</x:v>
      </x:c>
      <x:c r="T14" s="15" t="n">
        <x:f>S14/K14</x:f>
        <x:v>1.1701608971233546</x:v>
      </x:c>
      <x:c r="U14" s="16" t="n">
        <x:v>3</x:v>
      </x:c>
      <x:c r="V14" s="15" t="n">
        <x:f>4*U14+0.5</x:f>
        <x:v>12.5</x:v>
      </x:c>
      <x:c r="W14" s="15" t="n">
        <x:f>L14/1000*M14</x:f>
        <x:v>10.5</x:v>
      </x:c>
      <x:c r="X14" s="15" t="str">
        <x:f>IF(W14&gt;=V14,"PASS","FAIL")</x:f>
        <x:v>FAIL</x:v>
      </x:c>
      <x:c r="Y14" s="16" t="n">
        <x:v>5.5</x:v>
      </x:c>
      <x:c r="Z14" s="15" t="n">
        <x:f>60*(L14/1000)*P14/Y14</x:f>
        <x:v>3.0545454545454547</x:v>
      </x:c>
      <x:c r="AA14" s="10" t="str">
        <x:v>Cannot meet 2:1 at project base mass</x:v>
      </x:c>
    </x:row>
    <x:row r="15">
      <x:c r="A15" s="10" t="str">
        <x:v>Aquila endurance analog</x:v>
      </x:c>
      <x:c r="B15" s="10" t="str">
        <x:v>Aquila 1103 10500KV</x:v>
      </x:c>
      <x:c r="C15" s="10" t="str">
        <x:v>2218-3</x:v>
      </x:c>
      <x:c r="D15" s="10" t="str">
        <x:v>Aquila 1100 2S</x:v>
      </x:c>
      <x:c r="E15" s="10" t="str">
        <x:v>Removable central pouch</x:v>
      </x:c>
      <x:c r="F15" s="11" t="n">
        <x:v>82.75</x:v>
      </x:c>
      <x:c r="G15" s="11" t="n">
        <x:v>3.5</x:v>
      </x:c>
      <x:c r="H15" s="11" t="n">
        <x:v>2.32</x:v>
      </x:c>
      <x:c r="I15" s="11" t="n">
        <x:v>54.5</x:v>
      </x:c>
      <x:c r="J15" s="11" t="n">
        <x:v>0</x:v>
      </x:c>
      <x:c r="K15" s="15" t="n">
        <x:f>F15+4*G15+H15+I15+J15</x:f>
        <x:v>153.57</x:v>
      </x:c>
      <x:c r="L15" s="16" t="n">
        <x:v>1100</x:v>
      </x:c>
      <x:c r="M15" s="16" t="n">
        <x:v>15</x:v>
      </x:c>
      <x:c r="N15" s="16" t="n">
        <x:v>7.6</x:v>
      </x:c>
      <x:c r="O15" s="15" t="n">
        <x:f>L15/1000*N15</x:f>
        <x:v>8.36</x:v>
      </x:c>
      <x:c r="P15" s="16" t="n">
        <x:v>0.8</x:v>
      </x:c>
      <x:c r="Q15" s="15" t="n">
        <x:f>O15*P15</x:f>
        <x:v>6.688</x:v>
      </x:c>
      <x:c r="R15" s="16" t="n">
        <x:v>105</x:v>
      </x:c>
      <x:c r="S15" s="15" t="n">
        <x:f>4*R15</x:f>
        <x:v>420</x:v>
      </x:c>
      <x:c r="T15" s="15" t="n">
        <x:f>S15/K15</x:f>
        <x:v>2.7349091619456924</x:v>
      </x:c>
      <x:c r="U15" s="16" t="n">
        <x:v>8</x:v>
      </x:c>
      <x:c r="V15" s="15" t="n">
        <x:f>4*U15+0.5</x:f>
        <x:v>32.5</x:v>
      </x:c>
      <x:c r="W15" s="15" t="n">
        <x:f>L15/1000*M15</x:f>
        <x:v>16.5</x:v>
      </x:c>
      <x:c r="X15" s="15" t="str">
        <x:f>IF(W15&gt;=V15,"PASS","FAIL")</x:f>
        <x:v>FAIL</x:v>
      </x:c>
      <x:c r="Y15" s="16" t="n">
        <x:v>10.5</x:v>
      </x:c>
      <x:c r="Z15" s="15" t="n">
        <x:f>60*(L15/1000)*P15/Y15</x:f>
        <x:v>5.028571428571429</x:v>
      </x:c>
      <x:c r="AA15" s="10" t="str">
        <x:v>Thrust/current estimated; low-C pack limits peaks</x:v>
      </x:c>
    </x:row>
    <x:row r="16">
      <x:c r="A16" s="10" t="str">
        <x:v>High-authority 3S</x:v>
      </x:c>
      <x:c r="B16" s="10" t="str">
        <x:v>LAVA 1104 7200KV</x:v>
      </x:c>
      <x:c r="C16" s="10" t="str">
        <x:v>2218-3</x:v>
      </x:c>
      <x:c r="D16" s="10" t="str">
        <x:v>3S 550</x:v>
      </x:c>
      <x:c r="E16" s="10" t="str">
        <x:v>Removable central pouch</x:v>
      </x:c>
      <x:c r="F16" s="11" t="n">
        <x:v>82.75</x:v>
      </x:c>
      <x:c r="G16" s="11" t="n">
        <x:v>5.3</x:v>
      </x:c>
      <x:c r="H16" s="11" t="n">
        <x:v>2.32</x:v>
      </x:c>
      <x:c r="I16" s="11" t="n">
        <x:v>45</x:v>
      </x:c>
      <x:c r="J16" s="11" t="n">
        <x:v>0</x:v>
      </x:c>
      <x:c r="K16" s="15" t="n">
        <x:f>F16+4*G16+H16+I16+J16</x:f>
        <x:v>151.26999999999998</x:v>
      </x:c>
      <x:c r="L16" s="16" t="n">
        <x:v>550</x:v>
      </x:c>
      <x:c r="M16" s="16" t="n">
        <x:v>75</x:v>
      </x:c>
      <x:c r="N16" s="16" t="n">
        <x:v>11.4</x:v>
      </x:c>
      <x:c r="O16" s="15" t="n">
        <x:f>L16/1000*N16</x:f>
        <x:v>6.2700000000000005</x:v>
      </x:c>
      <x:c r="P16" s="16" t="n">
        <x:v>0.8</x:v>
      </x:c>
      <x:c r="Q16" s="15" t="n">
        <x:f>O16*P16</x:f>
        <x:v>5.016000000000001</x:v>
      </x:c>
      <x:c r="R16" s="16" t="n">
        <x:v>230</x:v>
      </x:c>
      <x:c r="S16" s="15" t="n">
        <x:f>4*R16</x:f>
        <x:v>920</x:v>
      </x:c>
      <x:c r="T16" s="15" t="n">
        <x:f>S16/K16</x:f>
        <x:v>6.081840417795995</x:v>
      </x:c>
      <x:c r="U16" s="16" t="n">
        <x:v>10.2</x:v>
      </x:c>
      <x:c r="V16" s="15" t="n">
        <x:f>4*U16+0.5</x:f>
        <x:v>41.3</x:v>
      </x:c>
      <x:c r="W16" s="15" t="n">
        <x:f>L16/1000*M16</x:f>
        <x:v>41.25</x:v>
      </x:c>
      <x:c r="X16" s="15" t="str">
        <x:f>IF(W16&gt;=V16,"PASS","FAIL")</x:f>
        <x:v>FAIL</x:v>
      </x:c>
      <x:c r="Y16" s="16" t="n">
        <x:v>11.5</x:v>
      </x:c>
      <x:c r="Z16" s="15" t="n">
        <x:f>60*(L16/1000)*P16/Y16</x:f>
        <x:v>2.2956521739130435</x:v>
      </x:c>
      <x:c r="AA16" s="10" t="str">
        <x:v>Outside baseline; high speed and impact energy</x:v>
      </x:c>
    </x:row>
  </x:sheetData>
  <x:mergeCells>
    <x:mergeCell ref="A1:AA1"/>
    <x:mergeCell ref="A2:H2"/>
  </x:mergeCells>
  <x:conditionalFormatting sqref="X5:X16">
    <x:cfRule type="containsText" dxfId="0" priority="1" operator="containsText" text="FAIL"/>
  </x:conditionalFormatting>
  <x:conditionalFormatting sqref="T5:T16">
    <x:cfRule type="cellIs" dxfId="1" priority="2" operator="lessThan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eddd12583149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8.889999389648438" hidden="0" customWidth="1"/>
    <x:col min="3" max="3" width="17.780000686645508" hidden="0" customWidth="1"/>
    <x:col min="4" max="4" width="10" hidden="0" customWidth="1"/>
    <x:col min="5" max="5" width="15.5600004196167" hidden="0" customWidth="1"/>
    <x:col min="6" max="6" width="17.780000686645508" hidden="0" customWidth="1"/>
    <x:col min="7" max="7" width="21.110000610351562" hidden="0" customWidth="1"/>
    <x:col min="8" max="8" width="36.66999816894531" hidden="0" customWidth="1"/>
  </x:cols>
  <x:sheetData>
    <x:row r="1" ht="32" customHeight="1">
      <x:c r="A1" s="2" t="str">
        <x:v>Model Assumptions, Equations, and Limitations</x:v>
      </x:c>
      <x:c r="B1" s="2" t="str">
        <x:v>Model Assumptions, Equations, and Limitations</x:v>
      </x:c>
      <x:c r="C1" s="2" t="str">
        <x:v>Model Assumptions, Equations, and Limitations</x:v>
      </x:c>
      <x:c r="D1" s="2" t="str">
        <x:v>Model Assumptions, Equations, and Limitations</x:v>
      </x:c>
      <x:c r="E1" s="2" t="str">
        <x:v>Model Assumptions, Equations, and Limitations</x:v>
      </x:c>
      <x:c r="F1" s="2" t="str">
        <x:v>Model Assumptions, Equations, and Limitations</x:v>
      </x:c>
      <x:c r="G1" s="2" t="str">
        <x:v>Model Assumptions, Equations, and Limitations</x:v>
      </x:c>
      <x:c r="H1" s="2" t="str">
        <x:v>Model Assumptions, Equations, and Limitations</x:v>
      </x:c>
    </x:row>
    <x:row r="2">
      <x:c r="A2" s="3" t="str">
        <x:v>Yellow values are planning inputs. The workbook is a selection-screening tool, not a substitute for bench testing.</x:v>
      </x:c>
      <x:c r="B2" s="3" t="str">
        <x:v>Yellow values are planning inputs. The workbook is a selection-screening tool, not a substitute for bench testing.</x:v>
      </x:c>
      <x:c r="C2" s="3" t="str">
        <x:v>Yellow values are planning inputs. The workbook is a selection-screening tool, not a substitute for bench testing.</x:v>
      </x:c>
      <x:c r="D2" s="3" t="str">
        <x:v>Yellow values are planning inputs. The workbook is a selection-screening tool, not a substitute for bench testing.</x:v>
      </x:c>
      <x:c r="E2" s="3" t="str">
        <x:v>Yellow values are planning inputs. The workbook is a selection-screening tool, not a substitute for bench testing.</x:v>
      </x:c>
      <x:c r="F2" s="3" t="str">
        <x:v>Yellow values are planning inputs. The workbook is a selection-screening tool, not a substitute for bench testing.</x:v>
      </x:c>
      <x:c r="G2" s="3" t="str">
        <x:v>Yellow values are planning inputs. The workbook is a selection-screening tool, not a substitute for bench testing.</x:v>
      </x:c>
      <x:c r="H2" s="3" t="str">
        <x:v>Yellow values are planning inputs. The workbook is a selection-screening tool, not a substitute for bench testing.</x:v>
      </x:c>
    </x:row>
    <x:row r="4" ht="34" customHeight="1">
      <x:c r="A4" s="7" t="str">
        <x:v>Parameter</x:v>
      </x:c>
      <x:c r="B4" s="7" t="str">
        <x:v>Best / nominal / value</x:v>
      </x:c>
      <x:c r="C4" s="7" t="str">
        <x:v>Worst / range</x:v>
      </x:c>
      <x:c r="D4" s="7" t="str">
        <x:v>Units</x:v>
      </x:c>
      <x:c r="E4" s="7" t="str">
        <x:v>Basis</x:v>
      </x:c>
      <x:c r="F4" s="7" t="str">
        <x:v>Conservative direction</x:v>
      </x:c>
      <x:c r="G4" s="7" t="str">
        <x:v>Use</x:v>
      </x:c>
      <x:c r="H4" s="7" t="str">
        <x:v>Source / note</x:v>
      </x:c>
    </x:row>
    <x:row r="5">
      <x:c r="A5" s="10" t="str">
        <x:v>Current project nominal mass</x:v>
      </x:c>
      <x:c r="B5" s="11" t="str">
        <x:v>140.75</x:v>
      </x:c>
      <x:c r="C5" s="10" t="str"/>
      <x:c r="D5" s="10" t="str">
        <x:v>g</x:v>
      </x:c>
      <x:c r="E5" s="10" t="str">
        <x:v>Repository mass budget</x:v>
      </x:c>
      <x:c r="F5" s="10" t="str">
        <x:v>Higher is worse</x:v>
      </x:c>
      <x:c r="G5" s="10" t="str">
        <x:v>Derives non-propulsion base mass</x:v>
      </x:c>
      <x:c r="H5" s="10" t="str">
        <x:v>Engineering Data/estimates.csv</x:v>
      </x:c>
    </x:row>
    <x:row r="6">
      <x:c r="A6" s="10" t="str">
        <x:v>Nominal motors in current budget</x:v>
      </x:c>
      <x:c r="B6" s="11" t="str">
        <x:v>23</x:v>
      </x:c>
      <x:c r="C6" s="10" t="str"/>
      <x:c r="D6" s="10" t="str">
        <x:v>g/set</x:v>
      </x:c>
      <x:c r="E6" s="10" t="str">
        <x:v>Repository mass budget</x:v>
      </x:c>
      <x:c r="F6" s="10" t="str">
        <x:v>Higher is worse</x:v>
      </x:c>
      <x:c r="G6" s="10" t="str">
        <x:v>Removed from baseline</x:v>
      </x:c>
      <x:c r="H6" s="10" t="str">
        <x:v>Engineering Data/estimates.csv</x:v>
      </x:c>
    </x:row>
    <x:row r="7">
      <x:c r="A7" s="10" t="str">
        <x:v>Nominal props in current budget</x:v>
      </x:c>
      <x:c r="B7" s="11" t="str">
        <x:v>2.5</x:v>
      </x:c>
      <x:c r="C7" s="10" t="str"/>
      <x:c r="D7" s="10" t="str">
        <x:v>g/set</x:v>
      </x:c>
      <x:c r="E7" s="10" t="str">
        <x:v>Repository mass budget</x:v>
      </x:c>
      <x:c r="F7" s="10" t="str">
        <x:v>Higher is worse</x:v>
      </x:c>
      <x:c r="G7" s="10" t="str">
        <x:v>Removed from baseline</x:v>
      </x:c>
      <x:c r="H7" s="10" t="str">
        <x:v>Engineering Data/estimates.csv</x:v>
      </x:c>
    </x:row>
    <x:row r="8">
      <x:c r="A8" s="10" t="str">
        <x:v>Nominal battery in current budget</x:v>
      </x:c>
      <x:c r="B8" s="11" t="str">
        <x:v>32.5</x:v>
      </x:c>
      <x:c r="C8" s="10" t="str"/>
      <x:c r="D8" s="10" t="str">
        <x:v>g</x:v>
      </x:c>
      <x:c r="E8" s="10" t="str">
        <x:v>Repository mass budget</x:v>
      </x:c>
      <x:c r="F8" s="10" t="str">
        <x:v>Higher is worse</x:v>
      </x:c>
      <x:c r="G8" s="10" t="str">
        <x:v>Removed from baseline</x:v>
      </x:c>
      <x:c r="H8" s="10" t="str">
        <x:v>Engineering Data/estimates.csv</x:v>
      </x:c>
    </x:row>
    <x:row r="9">
      <x:c r="A9" s="10" t="str">
        <x:v>Base aircraft excluding motors/props/battery</x:v>
      </x:c>
      <x:c r="B9" s="11" t="str">
        <x:v>82.75</x:v>
      </x:c>
      <x:c r="C9" s="10" t="str"/>
      <x:c r="D9" s="10" t="str">
        <x:v>g</x:v>
      </x:c>
      <x:c r="E9" s="10" t="str">
        <x:v>Calculated</x:v>
      </x:c>
      <x:c r="F9" s="10" t="str">
        <x:v>Higher is worse</x:v>
      </x:c>
      <x:c r="G9" s="10" t="str">
        <x:v>Scenario base mass</x:v>
      </x:c>
      <x:c r="H9" s="10" t="str">
        <x:v>140.75 - 23 - 2.5 - 32.5</x:v>
      </x:c>
    </x:row>
    <x:row r="10">
      <x:c r="A10" s="10" t="str">
        <x:v>Static thrust-to-weight requirement</x:v>
      </x:c>
      <x:c r="B10" s="11" t="str">
        <x:v>2.0</x:v>
      </x:c>
      <x:c r="C10" s="10" t="str"/>
      <x:c r="D10" s="10" t="str">
        <x:v>ratio</x:v>
      </x:c>
      <x:c r="E10" s="10" t="str">
        <x:v>Fixed requirement</x:v>
      </x:c>
      <x:c r="F10" s="10" t="str">
        <x:v>Lower is worse</x:v>
      </x:c>
      <x:c r="G10" s="10" t="str">
        <x:v>Initial propulsion screen</x:v>
      </x:c>
      <x:c r="H10" s="10" t="str">
        <x:v>Engineering Plan</x:v>
      </x:c>
    </x:row>
    <x:row r="11">
      <x:c r="A11" s="10" t="str">
        <x:v>Avionics current allowance</x:v>
      </x:c>
      <x:c r="B11" s="11" t="str">
        <x:v>0.5</x:v>
      </x:c>
      <x:c r="C11" s="10" t="str"/>
      <x:c r="D11" s="10" t="str">
        <x:v>A</x:v>
      </x:c>
      <x:c r="E11" s="10" t="str">
        <x:v>Estimated</x:v>
      </x:c>
      <x:c r="F11" s="10" t="str">
        <x:v>Higher is worse</x:v>
      </x:c>
      <x:c r="G11" s="10" t="str">
        <x:v>Maximum system current</x:v>
      </x:c>
      <x:c r="H11" s="10" t="str">
        <x:v>Replace with measurement</x:v>
      </x:c>
    </x:row>
    <x:row r="12">
      <x:c r="A12" s="10" t="str">
        <x:v>Removable battery usable fraction</x:v>
      </x:c>
      <x:c r="B12" s="11" t="str">
        <x:v>0.80</x:v>
      </x:c>
      <x:c r="C12" s="10" t="str"/>
      <x:c r="D12" s="10" t="str">
        <x:v>fraction</x:v>
      </x:c>
      <x:c r="E12" s="10" t="str">
        <x:v>Estimated</x:v>
      </x:c>
      <x:c r="F12" s="10" t="str">
        <x:v>Lower is worse</x:v>
      </x:c>
      <x:c r="G12" s="10" t="str">
        <x:v>Flight-time estimate</x:v>
      </x:c>
      <x:c r="H12" s="10" t="str">
        <x:v>Planning assumption</x:v>
      </x:c>
    </x:row>
    <x:row r="13">
      <x:c r="A13" s="10" t="str">
        <x:v>Semi-integrated usable fraction</x:v>
      </x:c>
      <x:c r="B13" s="11" t="str">
        <x:v>0.78</x:v>
      </x:c>
      <x:c r="C13" s="10" t="str"/>
      <x:c r="D13" s="10" t="str">
        <x:v>fraction</x:v>
      </x:c>
      <x:c r="E13" s="10" t="str">
        <x:v>Estimated</x:v>
      </x:c>
      <x:c r="F13" s="10" t="str">
        <x:v>Lower is worse</x:v>
      </x:c>
      <x:c r="G13" s="10" t="str">
        <x:v>Flight-time estimate</x:v>
      </x:c>
      <x:c r="H13" s="10" t="str">
        <x:v>Thermal/service allowance</x:v>
      </x:c>
    </x:row>
    <x:row r="14">
      <x:c r="A14" s="10" t="str">
        <x:v>Split-arm usable fraction</x:v>
      </x:c>
      <x:c r="B14" s="11" t="str">
        <x:v>0.72</x:v>
      </x:c>
      <x:c r="C14" s="10" t="str"/>
      <x:c r="D14" s="10" t="str">
        <x:v>fraction</x:v>
      </x:c>
      <x:c r="E14" s="10" t="str">
        <x:v>Estimated</x:v>
      </x:c>
      <x:c r="F14" s="10" t="str">
        <x:v>Lower is worse</x:v>
      </x:c>
      <x:c r="G14" s="10" t="str">
        <x:v>Flight-time estimate</x:v>
      </x:c>
      <x:c r="H14" s="10" t="str">
        <x:v>Balancing/wiring/thermal allowance</x:v>
      </x:c>
    </x:row>
    <x:row r="15">
      <x:c r="A15" s="10" t="str">
        <x:v>Structural battery usable fraction</x:v>
      </x:c>
      <x:c r="B15" s="11" t="str">
        <x:v>0.68</x:v>
      </x:c>
      <x:c r="C15" s="10" t="str"/>
      <x:c r="D15" s="10" t="str">
        <x:v>fraction</x:v>
      </x:c>
      <x:c r="E15" s="10" t="str">
        <x:v>Estimated</x:v>
      </x:c>
      <x:c r="F15" s="10" t="str">
        <x:v>Lower is worse</x:v>
      </x:c>
      <x:c r="G15" s="10" t="str">
        <x:v>Flight-time estimate</x:v>
      </x:c>
      <x:c r="H15" s="10" t="str">
        <x:v>Highest uncertainty/risk</x:v>
      </x:c>
    </x:row>
    <x:row r="16">
      <x:c r="A16" s="10" t="str">
        <x:v>Total mass equation</x:v>
      </x:c>
      <x:c r="B16" s="11" t="str">
        <x:v>Base + 4*m_motor + m_prop_set + m_battery + integration penalty</x:v>
      </x:c>
      <x:c r="C16" s="10" t="str"/>
      <x:c r="D16" s="10" t="str"/>
      <x:c r="E16" s="10" t="str">
        <x:v>Calculated</x:v>
      </x:c>
      <x:c r="F16" s="10" t="str"/>
      <x:c r="G16" s="10" t="str">
        <x:v>Propulsion Study</x:v>
      </x:c>
      <x:c r="H16" s="10" t="str">
        <x:v>Formula</x:v>
      </x:c>
    </x:row>
    <x:row r="17">
      <x:c r="A17" s="10" t="str">
        <x:v>Battery energy equation</x:v>
      </x:c>
      <x:c r="B17" s="11" t="str">
        <x:v>capacity_Ah * nominal_voltage</x:v>
      </x:c>
      <x:c r="C17" s="10" t="str"/>
      <x:c r="D17" s="10" t="str">
        <x:v>Wh</x:v>
      </x:c>
      <x:c r="E17" s="10" t="str">
        <x:v>Calculated</x:v>
      </x:c>
      <x:c r="F17" s="10" t="str"/>
      <x:c r="G17" s="10" t="str">
        <x:v>Propulsion Study</x:v>
      </x:c>
      <x:c r="H17" s="10" t="str">
        <x:v>Formula</x:v>
      </x:c>
    </x:row>
    <x:row r="18">
      <x:c r="A18" s="10" t="str">
        <x:v>Estimated flight time</x:v>
      </x:c>
      <x:c r="B18" s="11" t="str">
        <x:v>60 * capacity_Ah * usable_fraction / hover_current</x:v>
      </x:c>
      <x:c r="C18" s="10" t="str"/>
      <x:c r="D18" s="10" t="str">
        <x:v>min</x:v>
      </x:c>
      <x:c r="E18" s="10" t="str">
        <x:v>Calculated</x:v>
      </x:c>
      <x:c r="F18" s="10" t="str"/>
      <x:c r="G18" s="10" t="str">
        <x:v>Propulsion Study</x:v>
      </x:c>
      <x:c r="H18" s="10" t="str">
        <x:v>Does not include reserve/aging beyond usable fraction</x:v>
      </x:c>
    </x:row>
    <x:row r="19">
      <x:c r="A19" s="10" t="str">
        <x:v>Battery continuous current</x:v>
      </x:c>
      <x:c r="B19" s="11" t="str">
        <x:v>capacity_Ah * C_rating</x:v>
      </x:c>
      <x:c r="C19" s="10" t="str"/>
      <x:c r="D19" s="10" t="str">
        <x:v>A</x:v>
      </x:c>
      <x:c r="E19" s="10" t="str">
        <x:v>Calculated</x:v>
      </x:c>
      <x:c r="F19" s="10" t="str"/>
      <x:c r="G19" s="10" t="str">
        <x:v>Discharge screen</x:v>
      </x:c>
      <x:c r="H19" s="10" t="str">
        <x:v>C ratings may be optimistic</x:v>
      </x:c>
    </x:row>
    <x:row r="20">
      <x:c r="A20" s="10" t="str">
        <x:v>Critical limitation</x:v>
      </x:c>
      <x:c r="B20" s="11" t="str">
        <x:v>Recovery torque, motor transient response, thermal performance, and estimator behavior are not proven by static catalog data.</x:v>
      </x:c>
      <x:c r="C20" s="10" t="str"/>
      <x:c r="D20" s="10" t="str"/>
      <x:c r="E20" s="10" t="str">
        <x:v>Engineering judgment</x:v>
      </x:c>
      <x:c r="F20" s="10" t="str"/>
      <x:c r="G20" s="10" t="str">
        <x:v>Selection gate</x:v>
      </x:c>
      <x:c r="H20" s="10" t="str">
        <x:v>Measure on thrust stand and controlled test rig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7.780000686645508" hidden="0" customWidth="1"/>
    <x:col min="4" max="4" width="3.3299999237060547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3.3299999237060547" hidden="0" customWidth="1"/>
    <x:col min="10" max="10" width="11.109999656677246" hidden="0" customWidth="1"/>
    <x:col min="11" max="11" width="11.109999656677246" hidden="0" customWidth="1"/>
    <x:col min="12" max="12" width="11.109999656677246" hidden="0" customWidth="1"/>
    <x:col min="13" max="13" width="11.109999656677246" hidden="0" customWidth="1"/>
    <x:col min="14" max="14" width="11.109999656677246" hidden="0" customWidth="1"/>
    <x:col min="15" max="15" width="11.109999656677246" hidden="0" customWidth="1"/>
    <x:col min="16" max="16" width="11.109999656677246" hidden="0" customWidth="1"/>
    <x:col min="17" max="17" width="11.109999656677246" hidden="0" customWidth="1"/>
    <x:col min="18" max="18" width="11.109999656677246" hidden="0" customWidth="1"/>
    <x:col min="19" max="19" width="11.109999656677246" hidden="0" customWidth="1"/>
    <x:col min="20" max="20" width="11.109999656677246" hidden="0" customWidth="1"/>
  </x:cols>
  <x:sheetData>
    <x:row r="1" ht="32" customHeight="1">
      <x:c r="A1" s="2" t="str">
        <x:v>Guarded Micro-UAV Component &amp; Propulsion Study</x:v>
      </x:c>
      <x:c r="B1" s="2" t="str">
        <x:v>Guarded Micro-UAV Component &amp; Propulsion Study</x:v>
      </x:c>
      <x:c r="C1" s="2" t="str">
        <x:v>Guarded Micro-UAV Component &amp; Propulsion Study</x:v>
      </x:c>
      <x:c r="D1" s="2" t="str">
        <x:v>Guarded Micro-UAV Component &amp; Propulsion Study</x:v>
      </x:c>
      <x:c r="E1" s="2" t="str">
        <x:v>Guarded Micro-UAV Component &amp; Propulsion Study</x:v>
      </x:c>
      <x:c r="F1" s="2" t="str">
        <x:v>Guarded Micro-UAV Component &amp; Propulsion Study</x:v>
      </x:c>
      <x:c r="G1" s="2" t="str">
        <x:v>Guarded Micro-UAV Component &amp; Propulsion Study</x:v>
      </x:c>
      <x:c r="H1" s="2" t="str">
        <x:v>Guarded Micro-UAV Component &amp; Propulsion Study</x:v>
      </x:c>
    </x:row>
    <x:row r="2">
      <x:c r="A2" s="3" t="str">
        <x:v>Initial source-backed selection screen | Component research + frame-integrated battery trade study</x:v>
      </x:c>
      <x:c r="B2" s="3" t="str">
        <x:v>Initial source-backed selection screen | Component research + frame-integrated battery trade study</x:v>
      </x:c>
      <x:c r="C2" s="3" t="str">
        <x:v>Initial source-backed selection screen | Component research + frame-integrated battery trade study</x:v>
      </x:c>
      <x:c r="D2" s="3" t="str">
        <x:v>Initial source-backed selection screen | Component research + frame-integrated battery trade study</x:v>
      </x:c>
      <x:c r="E2" s="3" t="str">
        <x:v>Initial source-backed selection screen | Component research + frame-integrated battery trade study</x:v>
      </x:c>
      <x:c r="F2" s="3" t="str">
        <x:v>Initial source-backed selection screen | Component research + frame-integrated battery trade study</x:v>
      </x:c>
      <x:c r="G2" s="3" t="str">
        <x:v>Initial source-backed selection screen | Component research + frame-integrated battery trade study</x:v>
      </x:c>
      <x:c r="H2" s="3" t="str">
        <x:v>Initial source-backed selection screen | Component research + frame-integrated battery trade study</x:v>
      </x:c>
    </x:row>
    <x:row r="4" ht="34" customHeight="1">
      <x:c r="A4" s="7" t="str">
        <x:v>Study metric</x:v>
      </x:c>
      <x:c r="B4" s="7" t="str">
        <x:v>Value</x:v>
      </x:c>
      <x:c r="D4" s="7" t="str">
        <x:v>Engineering recommendations</x:v>
      </x:c>
      <x:c r="E4" s="7"/>
      <x:c r="F4" s="7"/>
      <x:c r="G4" s="7"/>
      <x:c r="H4" s="7"/>
    </x:row>
    <x:row r="5" ht="50" customHeight="1">
      <x:c r="A5" s="10" t="str">
        <x:v>Component candidates</x:v>
      </x:c>
      <x:c r="B5" s="15" t="n">
        <x:f>COUNTA('Component Candidates'!B5:B100)</x:f>
        <x:v>41</x:v>
      </x:c>
      <x:c r="D5" s="18" t="str">
        <x:v>Start bench testing with EX1103 11000KV + 2023-3 + removable 2S 550-650 mAh pack. The modeled 450 mAh 75C pack clears static T/W but fails the catalog full-load discharge screen.</x:v>
      </x:c>
      <x:c r="E5" s="18" t="str">
        <x:v>Start bench testing with EX1103 11000KV + 2023-3 + removable 2S 550-650 mAh pack. The modeled 450 mAh 75C pack clears static T/W but fails the catalog full-load discharge screen.</x:v>
      </x:c>
      <x:c r="F5" s="18" t="str">
        <x:v>Start bench testing with EX1103 11000KV + 2023-3 + removable 2S 550-650 mAh pack. The modeled 450 mAh 75C pack clears static T/W but fails the catalog full-load discharge screen.</x:v>
      </x:c>
      <x:c r="G5" s="18" t="str">
        <x:v>Start bench testing with EX1103 11000KV + 2023-3 + removable 2S 550-650 mAh pack. The modeled 450 mAh 75C pack clears static T/W but fails the catalog full-load discharge screen.</x:v>
      </x:c>
      <x:c r="H5" s="18" t="str">
        <x:v>Start bench testing with EX1103 11000KV + 2023-3 + removable 2S 550-650 mAh pack. The modeled 450 mAh 75C pack clears static T/W but fails the catalog full-load discharge screen.</x:v>
      </x:c>
    </x:row>
    <x:row r="6" ht="50" customHeight="1">
      <x:c r="A6" s="10" t="str">
        <x:v>Propulsion scenarios</x:v>
      </x:c>
      <x:c r="B6" s="15" t="n">
        <x:f>COUNTA('Propulsion Study'!A5:A100)</x:f>
        <x:v>12</x:v>
      </x:c>
      <x:c r="D6" s="18" t="str">
        <x:v>Use a removable, centrally located pack for V1. Frame-integrated cells add uncertain mass, increase rotational inertia when distributed, and create charging, thermal, impact, and replacement hazards.</x:v>
      </x:c>
      <x:c r="E6" s="18" t="str">
        <x:v>Use a removable, centrally located pack for V1. Frame-integrated cells add uncertain mass, increase rotational inertia when distributed, and create charging, thermal, impact, and replacement hazards.</x:v>
      </x:c>
      <x:c r="F6" s="18" t="str">
        <x:v>Use a removable, centrally located pack for V1. Frame-integrated cells add uncertain mass, increase rotational inertia when distributed, and create charging, thermal, impact, and replacement hazards.</x:v>
      </x:c>
      <x:c r="G6" s="18" t="str">
        <x:v>Use a removable, centrally located pack for V1. Frame-integrated cells add uncertain mass, increase rotational inertia when distributed, and create charging, thermal, impact, and replacement hazards.</x:v>
      </x:c>
      <x:c r="H6" s="18" t="str">
        <x:v>Use a removable, centrally located pack for V1. Frame-integrated cells add uncertain mass, increase rotational inertia when distributed, and create charging, thermal, impact, and replacement hazards.</x:v>
      </x:c>
    </x:row>
    <x:row r="7" ht="50" customHeight="1">
      <x:c r="A7" s="10" t="str">
        <x:v>Reference drones</x:v>
      </x:c>
      <x:c r="B7" s="15" t="n">
        <x:f>COUNTA('Reference Drones'!A5:A100)</x:f>
        <x:v>7</x:v>
      </x:c>
      <x:c r="D7" s="18" t="str">
        <x:v>Prioritize AIO versus H7 FC trade testing: the AIO can save meaningful mass, but H7-class ArduPilot support/logging may be required for recovery research.</x:v>
      </x:c>
      <x:c r="E7" s="18" t="str">
        <x:v>Prioritize AIO versus H7 FC trade testing: the AIO can save meaningful mass, but H7-class ArduPilot support/logging may be required for recovery research.</x:v>
      </x:c>
      <x:c r="F7" s="18" t="str">
        <x:v>Prioritize AIO versus H7 FC trade testing: the AIO can save meaningful mass, but H7-class ArduPilot support/logging may be required for recovery research.</x:v>
      </x:c>
      <x:c r="G7" s="18" t="str">
        <x:v>Prioritize AIO versus H7 FC trade testing: the AIO can save meaningful mass, but H7-class ArduPilot support/logging may be required for recovery research.</x:v>
      </x:c>
      <x:c r="H7" s="18" t="str">
        <x:v>Prioritize AIO versus H7 FC trade testing: the AIO can save meaningful mass, but H7-class ArduPilot support/logging may be required for recovery research.</x:v>
      </x:c>
    </x:row>
    <x:row r="8" ht="50" customHeight="1">
      <x:c r="A8" s="10" t="str">
        <x:v>Baseline base mass (g)</x:v>
      </x:c>
      <x:c r="B8" s="15" t="str">
        <x:f>'Assumptions &amp; Sources'!B9</x:f>
        <x:v>82.75</x:v>
      </x:c>
      <x:c r="D8" s="18" t="str">
        <x:v>Do not select from estimated thrust cases until the exact motor-prop-voltage combination has measured thrust, current, RPM, transient response, and temperature data.</x:v>
      </x:c>
      <x:c r="E8" s="18" t="str">
        <x:v>Do not select from estimated thrust cases until the exact motor-prop-voltage combination has measured thrust, current, RPM, transient response, and temperature data.</x:v>
      </x:c>
      <x:c r="F8" s="18" t="str">
        <x:v>Do not select from estimated thrust cases until the exact motor-prop-voltage combination has measured thrust, current, RPM, transient response, and temperature data.</x:v>
      </x:c>
      <x:c r="G8" s="18" t="str">
        <x:v>Do not select from estimated thrust cases until the exact motor-prop-voltage combination has measured thrust, current, RPM, transient response, and temperature data.</x:v>
      </x:c>
      <x:c r="H8" s="18" t="str">
        <x:v>Do not select from estimated thrust cases until the exact motor-prop-voltage combination has measured thrust, current, RPM, transient response, and temperature data.</x:v>
      </x:c>
    </x:row>
    <x:row r="9" ht="50" customHeight="1">
      <x:c r="A9" s="10" t="str">
        <x:v>Required static T/W</x:v>
      </x:c>
      <x:c r="B9" s="15" t="str">
        <x:f>'Assumptions &amp; Sources'!B10</x:f>
        <x:v>2.0</x:v>
      </x:c>
      <x:c r="D9" s="18" t="str">
        <x:v>Static T/W is only a screen. Final selection must close recovery torque, motor-start latency, battery sag, gyro/estimator envelope, guard clearance, and thermal limits.</x:v>
      </x:c>
      <x:c r="E9" s="18" t="str">
        <x:v>Static T/W is only a screen. Final selection must close recovery torque, motor-start latency, battery sag, gyro/estimator envelope, guard clearance, and thermal limits.</x:v>
      </x:c>
      <x:c r="F9" s="18" t="str">
        <x:v>Static T/W is only a screen. Final selection must close recovery torque, motor-start latency, battery sag, gyro/estimator envelope, guard clearance, and thermal limits.</x:v>
      </x:c>
      <x:c r="G9" s="18" t="str">
        <x:v>Static T/W is only a screen. Final selection must close recovery torque, motor-start latency, battery sag, gyro/estimator envelope, guard clearance, and thermal limits.</x:v>
      </x:c>
      <x:c r="H9" s="18" t="str">
        <x:v>Static T/W is only a screen. Final selection must close recovery torque, motor-start latency, battery sag, gyro/estimator envelope, guard clearance, and thermal limits.</x:v>
      </x:c>
    </x:row>
    <x:row r="10">
      <x:c r="A10" s="10" t="str">
        <x:v>Baseline scenario T/W</x:v>
      </x:c>
      <x:c r="B10" s="15" t="n">
        <x:f>'Propulsion Study'!T5</x:f>
        <x:v>3.82221525437015</x:v>
      </x:c>
    </x:row>
    <x:row r="11">
      <x:c r="A11" s="10" t="str">
        <x:v>Baseline est. flight time (min)</x:v>
      </x:c>
      <x:c r="B11" s="15" t="n">
        <x:f>'Propulsion Study'!Z5</x:f>
        <x:v>2.2736842105263158</x:v>
      </x:c>
    </x:row>
    <x:row r="14" ht="34" customHeight="1">
      <x:c r="A14" s="7" t="str">
        <x:v>Scenario</x:v>
      </x:c>
      <x:c r="B14" s="7" t="str">
        <x:v>Static T/W</x:v>
      </x:c>
      <x:c r="C14" s="7" t="str">
        <x:v>Est. flight time (min)</x:v>
      </x:c>
    </x:row>
    <x:row r="15">
      <x:c r="A15" s="10" t="str">
        <x:f>'Propulsion Study'!A5</x:f>
        <x:v>Baseline documented</x:v>
      </x:c>
      <x:c r="B15" s="15" t="n">
        <x:f>'Propulsion Study'!T5</x:f>
        <x:v>3.82221525437015</x:v>
      </x:c>
      <x:c r="C15" s="15" t="n">
        <x:f>'Propulsion Study'!Z5</x:f>
        <x:v>2.2736842105263158</x:v>
      </x:c>
    </x:row>
    <x:row r="16">
      <x:c r="A16" s="10" t="str">
        <x:f>'Propulsion Study'!A6</x:f>
        <x:v>Middle-capacity candidate</x:v>
      </x:c>
      <x:c r="B16" s="15" t="n">
        <x:f>'Propulsion Study'!T6</x:f>
        <x:v>3.722989997709399</x:v>
      </x:c>
      <x:c r="C16" s="15" t="n">
        <x:f>'Propulsion Study'!Z6</x:f>
        <x:v>2.693877551020408</x:v>
      </x:c>
    </x:row>
    <x:row r="17">
      <x:c r="A17" s="10" t="str">
        <x:f>'Propulsion Study'!A7</x:f>
        <x:v>Endurance/current candidate</x:v>
      </x:c>
      <x:c r="B17" s="15" t="n">
        <x:f>'Propulsion Study'!T7</x:f>
        <x:v>3.5469556994253293</x:v>
      </x:c>
      <x:c r="C17" s="15" t="n">
        <x:f>'Propulsion Study'!Z7</x:f>
        <x:v>3.0588235294117654</x:v>
      </x:c>
    </x:row>
    <x:row r="18">
      <x:c r="A18" s="10" t="str">
        <x:f>'Propulsion Study'!A8</x:f>
        <x:v>Heavy endurance</x:v>
      </x:c>
      <x:c r="B18" s="15" t="n">
        <x:f>'Propulsion Study'!T8</x:f>
        <x:v>3.3750951754689558</x:v>
      </x:c>
      <x:c r="C18" s="15" t="n">
        <x:f>'Propulsion Study'!Z8</x:f>
        <x:v>2.9714285714285715</x:v>
      </x:c>
    </x:row>
    <x:row r="19">
      <x:c r="A19" s="10" t="str">
        <x:f>'Propulsion Study'!A9</x:f>
        <x:v>Central integrated bay</x:v>
      </x:c>
      <x:c r="B19" s="15" t="n">
        <x:f>'Propulsion Study'!T9</x:f>
        <x:v>3.6126546639994075</x:v>
      </x:c>
      <x:c r="C19" s="15" t="n">
        <x:f>'Propulsion Study'!Z9</x:f>
        <x:v>2.548514851485149</x:v>
      </x:c>
    </x:row>
    <x:row r="20">
      <x:c r="A20" s="10" t="str">
        <x:f>'Propulsion Study'!A10</x:f>
        <x:v>Split-arm battery concept</x:v>
      </x:c>
      <x:c r="B20" s="15" t="n">
        <x:f>'Propulsion Study'!T10</x:f>
        <x:v>3.493587447159132</x:v>
      </x:c>
      <x:c r="C20" s="15" t="n">
        <x:f>'Propulsion Study'!Z10</x:f>
        <x:v>1.7999999999999996</x:v>
      </x:c>
    </x:row>
    <x:row r="21">
      <x:c r="A21" s="10" t="str">
        <x:f>'Propulsion Study'!A11</x:f>
        <x:v>Structural battery concept</x:v>
      </x:c>
      <x:c r="B21" s="15" t="n">
        <x:f>'Propulsion Study'!T11</x:f>
        <x:v>3.2731422434047124</x:v>
      </x:c>
      <x:c r="C21" s="15" t="n">
        <x:f>'Propulsion Study'!Z11</x:f>
        <x:v>1.951304347826087</x:v>
      </x:c>
    </x:row>
    <x:row r="22">
      <x:c r="A22" s="10" t="str">
        <x:f>'Propulsion Study'!A12</x:f>
        <x:v>Lowest motor mass</x:v>
      </x:c>
      <x:c r="B22" s="15" t="n">
        <x:f>'Propulsion Study'!T12</x:f>
        <x:v>3.385731559854897</x:v>
      </x:c>
      <x:c r="C22" s="15" t="n">
        <x:f>'Propulsion Study'!Z12</x:f>
        <x:v>2.4545454545454546</x:v>
      </x:c>
    </x:row>
    <x:row r="23">
      <x:c r="A23" s="10" t="str">
        <x:f>'Propulsion Study'!A13</x:f>
        <x:v>1202.5 alternative</x:v>
      </x:c>
      <x:c r="B23" s="15" t="n">
        <x:f>'Propulsion Study'!T13</x:f>
        <x:v>3.46866377611352</x:v>
      </x:c>
      <x:c r="C23" s="15" t="n">
        <x:f>'Propulsion Study'!Z13</x:f>
        <x:v>2.373626373626374</x:v>
      </x:c>
    </x:row>
    <x:row r="24">
      <x:c r="A24" s="10" t="str">
        <x:f>'Propulsion Study'!A14</x:f>
        <x:v>Research-platform minimum</x:v>
      </x:c>
      <x:c r="B24" s="15" t="n">
        <x:f>'Propulsion Study'!T14</x:f>
        <x:v>1.1701608971233546</x:v>
      </x:c>
      <x:c r="C24" s="15" t="n">
        <x:f>'Propulsion Study'!Z14</x:f>
        <x:v>3.0545454545454547</x:v>
      </x:c>
    </x:row>
    <x:row r="25">
      <x:c r="A25" s="10" t="str">
        <x:f>'Propulsion Study'!A15</x:f>
        <x:v>Aquila endurance analog</x:v>
      </x:c>
      <x:c r="B25" s="15" t="n">
        <x:f>'Propulsion Study'!T15</x:f>
        <x:v>2.7349091619456924</x:v>
      </x:c>
      <x:c r="C25" s="15" t="n">
        <x:f>'Propulsion Study'!Z15</x:f>
        <x:v>5.028571428571429</x:v>
      </x:c>
    </x:row>
    <x:row r="26">
      <x:c r="A26" s="10" t="str">
        <x:f>'Propulsion Study'!A16</x:f>
        <x:v>High-authority 3S</x:v>
      </x:c>
      <x:c r="B26" s="15" t="n">
        <x:f>'Propulsion Study'!T16</x:f>
        <x:v>6.081840417795995</x:v>
      </x:c>
      <x:c r="C26" s="15" t="n">
        <x:f>'Propulsion Study'!Z16</x:f>
        <x:v>2.2956521739130435</x:v>
      </x:c>
    </x:row>
    <x:row r="30" ht="58" customHeight="1">
      <x:c r="A30" s="14" t="str">
        <x:v>Decision status: a removable central 2S pack is the defensible V1 architecture. Frame-integrated batteries remain a later research track after propulsion, mass properties, thermal behavior, crash protection, charging/balancing, and recovery dynamics are experimentally characterized.</x:v>
      </x:c>
      <x:c r="B30" s="14"/>
      <x:c r="C30" s="14"/>
      <x:c r="D30" s="14"/>
      <x:c r="E30" s="14"/>
      <x:c r="F30" s="14"/>
      <x:c r="G30" s="14"/>
      <x:c r="H30" s="14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A30:H30"/>
  </x:mergeCells>
  <x:pageMargins left="0.7" right="0.7" top="0.75" bottom="0.75" header="0.3" footer="0.3"/>
  <x:drawing xmlns:r="http://schemas.openxmlformats.org/officeDocument/2006/relationships" r:id="R4bc13a59aa16485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110000610351562" hidden="0" customWidth="1"/>
    <x:col min="3" max="3" width="13.329999923706055" hidden="0" customWidth="1"/>
    <x:col min="4" max="4" width="33.33000183105469" hidden="0" customWidth="1"/>
  </x:cols>
  <x:sheetData>
    <x:row r="1" ht="32" customHeight="1">
      <x:c r="A1" s="2" t="str">
        <x:v>Workbook Verification Checks</x:v>
      </x:c>
      <x:c r="B1" s="2" t="str">
        <x:v>Workbook Verification Checks</x:v>
      </x:c>
      <x:c r="C1" s="2" t="str">
        <x:v>Workbook Verification Checks</x:v>
      </x:c>
      <x:c r="D1" s="2" t="str">
        <x:v>Workbook Verification Checks</x:v>
      </x:c>
      <x:c r="E1" s="2" t="str">
        <x:v>Workbook Verification Checks</x:v>
      </x:c>
      <x:c r="F1" s="2" t="str">
        <x:v>Workbook Verification Checks</x:v>
      </x:c>
    </x:row>
    <x:row r="2">
      <x:c r="A2" s="3" t="str">
        <x:v>PASS means the screening workbook is internally consistent; it does not certify hardware.</x:v>
      </x:c>
      <x:c r="B2" s="3" t="str">
        <x:v>PASS means the screening workbook is internally consistent; it does not certify hardware.</x:v>
      </x:c>
      <x:c r="C2" s="3" t="str">
        <x:v>PASS means the screening workbook is internally consistent; it does not certify hardware.</x:v>
      </x:c>
      <x:c r="D2" s="3" t="str">
        <x:v>PASS means the screening workbook is internally consistent; it does not certify hardware.</x:v>
      </x:c>
      <x:c r="E2" s="3" t="str">
        <x:v>PASS means the screening workbook is internally consistent; it does not certify hardware.</x:v>
      </x:c>
      <x:c r="F2" s="3" t="str">
        <x:v>PASS means the screening workbook is internally consistent; it does not certify hardware.</x:v>
      </x:c>
      <x:c r="G2" s="3" t="str">
        <x:v>PASS means the screening workbook is internally consistent; it does not certify hardware.</x:v>
      </x:c>
      <x:c r="H2" s="3" t="str">
        <x:v>PASS means the screening workbook is internally consistent; it does not certify hardware.</x:v>
      </x:c>
    </x:row>
    <x:row r="4" ht="34" customHeight="1">
      <x:c r="A4" s="7" t="str">
        <x:v>Check</x:v>
      </x:c>
      <x:c r="B4" s="7" t="str">
        <x:v>Formula / criterion</x:v>
      </x:c>
      <x:c r="C4" s="7" t="str">
        <x:v>Result</x:v>
      </x:c>
      <x:c r="D4" s="7" t="str">
        <x:v>Interpretation</x:v>
      </x:c>
    </x:row>
    <x:row r="5">
      <x:c r="A5" s="10" t="str">
        <x:v>Candidate breadth</x:v>
      </x:c>
      <x:c r="B5" s="10" t="str">
        <x:v>At least 35 candidates</x:v>
      </x:c>
      <x:c r="C5" s="10" t="str">
        <x:f>IF(COUNTA('Component Candidates'!B5:B100)&gt;=35,"PASS","FAIL")</x:f>
        <x:v>PASS</x:v>
      </x:c>
      <x:c r="D5" s="10" t="str">
        <x:v>Wide initial option set</x:v>
      </x:c>
    </x:row>
    <x:row r="6">
      <x:c r="A6" s="10" t="str">
        <x:v>Scenario breadth</x:v>
      </x:c>
      <x:c r="B6" s="10" t="str">
        <x:v>At least 10 scenarios</x:v>
      </x:c>
      <x:c r="C6" s="10" t="str">
        <x:f>IF(COUNTA('Propulsion Study'!A5:A100)&gt;=10,"PASS","FAIL")</x:f>
        <x:v>PASS</x:v>
      </x:c>
      <x:c r="D6" s="10" t="str">
        <x:v>Multiple architectures compared</x:v>
      </x:c>
    </x:row>
    <x:row r="7">
      <x:c r="A7" s="10" t="str">
        <x:v>Baseline static T/W</x:v>
      </x:c>
      <x:c r="B7" s="10" t="str">
        <x:v>Baseline &gt;= 2.0</x:v>
      </x:c>
      <x:c r="C7" s="10" t="str">
        <x:f>IF('Propulsion Study'!T5&gt;=2,"PASS","FAIL")</x:f>
        <x:v>PASS</x:v>
      </x:c>
      <x:c r="D7" s="10" t="str">
        <x:v>Initial propulsion screen</x:v>
      </x:c>
    </x:row>
    <x:row r="8">
      <x:c r="A8" s="10" t="str">
        <x:v>Baseline discharge</x:v>
      </x:c>
      <x:c r="B8" s="10" t="str">
        <x:v>Baseline pack continuous current &gt;= estimated max</x:v>
      </x:c>
      <x:c r="C8" s="10" t="str">
        <x:f>'Propulsion Study'!X5</x:f>
        <x:v>FAIL</x:v>
      </x:c>
      <x:c r="D8" s="10" t="str">
        <x:v>Catalog C-rating screen only</x:v>
      </x:c>
    </x:row>
    <x:row r="9">
      <x:c r="A9" s="10" t="str">
        <x:v>All source URLs populated</x:v>
      </x:c>
      <x:c r="B9" s="10" t="str">
        <x:v>No missing source cells</x:v>
      </x:c>
      <x:c r="C9" s="10" t="str">
        <x:f>IF(COUNTBLANK('Component Candidates'!L5:L44)=0,"PASS","FAIL")</x:f>
        <x:v>PASS</x:v>
      </x:c>
      <x:c r="D9" s="10" t="str">
        <x:v>Sources auditable</x:v>
      </x:c>
    </x:row>
    <x:row r="10">
      <x:c r="A10" s="10" t="str">
        <x:v>Frame battery warning present</x:v>
      </x:c>
      <x:c r="B10" s="10" t="str">
        <x:v>Architecture sheet populated</x:v>
      </x:c>
      <x:c r="C10" s="10" t="str">
        <x:f>IF(COUNTA('Battery Architectures'!A5:A8)=4,"PASS","FAIL")</x:f>
        <x:v>PASS</x:v>
      </x:c>
      <x:c r="D10" s="10" t="str">
        <x:v>Integration alternatives explicit</x:v>
      </x:c>
    </x:row>
  </x:sheetData>
  <x:mergeCells>
    <x:mergeCell ref="A1:F1"/>
    <x:mergeCell ref="A2:H2"/>
  </x:mergeCells>
  <x:conditionalFormatting sqref="C5:C10">
    <x:cfRule type="containsText" dxfId="2" priority="1" operator="containsText" text="FAIL"/>
    <x:cfRule type="containsText" dxfId="3" priority="2" operator="containsText" text="PASS"/>
  </x:conditionalFormatting>
  <x:pageMargins left="0.7" right="0.7" top="0.75" bottom="0.75" header="0.3" footer="0.3"/>
</x:worksheet>
</file>